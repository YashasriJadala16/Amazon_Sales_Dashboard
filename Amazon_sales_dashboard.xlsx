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hidePivotFieldList="1" defaultThemeVersion="202300"/>
  <mc:AlternateContent xmlns:mc="http://schemas.openxmlformats.org/markup-compatibility/2006">
    <mc:Choice Requires="x15">
      <x15ac:absPath xmlns:x15ac="http://schemas.microsoft.com/office/spreadsheetml/2010/11/ac" url="/Users/yashasrijadala/Desktop/excel projects/"/>
    </mc:Choice>
  </mc:AlternateContent>
  <xr:revisionPtr revIDLastSave="0" documentId="8_{A4B5FCD4-AB4F-DC4C-A6CF-597913DCDAD5}" xr6:coauthVersionLast="47" xr6:coauthVersionMax="47" xr10:uidLastSave="{00000000-0000-0000-0000-000000000000}"/>
  <bookViews>
    <workbookView xWindow="0" yWindow="780" windowWidth="34200" windowHeight="19280" activeTab="2" xr2:uid="{80B3B757-169E-45B6-89C9-D705E5FE94D5}"/>
  </bookViews>
  <sheets>
    <sheet name="pivottable" sheetId="6" r:id="rId1"/>
    <sheet name="Data" sheetId="2" r:id="rId2"/>
    <sheet name="Dashboard" sheetId="3" r:id="rId3"/>
  </sheets>
  <definedNames>
    <definedName name="_xlchart.v5.0" hidden="1">pivottable!$AE$4</definedName>
    <definedName name="_xlchart.v5.1" hidden="1">pivottable!$AE$5:$AE$11</definedName>
    <definedName name="_xlchart.v5.2" hidden="1">pivottable!$AG$4</definedName>
    <definedName name="_xlchart.v5.3" hidden="1">pivottable!$AG$5:$AG$11</definedName>
    <definedName name="Slicer_Month">#N/A</definedName>
    <definedName name="Slicer_Payment_Method">#N/A</definedName>
    <definedName name="Slicer_Sell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0" i="6" l="1"/>
  <c r="AG10" i="6" s="1"/>
  <c r="AF9" i="6"/>
  <c r="AG9" i="6" s="1"/>
  <c r="AF8" i="6"/>
  <c r="AG8" i="6" s="1"/>
  <c r="AF7" i="6"/>
  <c r="AG7" i="6" s="1"/>
  <c r="AF6" i="6"/>
  <c r="AG6" i="6" s="1"/>
  <c r="AF5" i="6"/>
  <c r="AG5" i="6" s="1"/>
  <c r="AE6" i="6"/>
  <c r="AE7" i="6"/>
  <c r="AE8" i="6"/>
  <c r="AE9" i="6"/>
  <c r="AE10" i="6"/>
  <c r="AE5" i="6"/>
  <c r="W12" i="6"/>
  <c r="X12" i="6"/>
  <c r="Y12" i="6"/>
  <c r="Z12" i="6"/>
  <c r="W11" i="6"/>
  <c r="X11" i="6"/>
  <c r="Y11" i="6"/>
  <c r="Z11" i="6"/>
  <c r="W10" i="6"/>
  <c r="X10" i="6"/>
  <c r="Y10" i="6"/>
  <c r="Z10" i="6"/>
  <c r="W9" i="6"/>
  <c r="X9" i="6"/>
  <c r="Y9" i="6"/>
  <c r="Z9" i="6"/>
  <c r="W8" i="6"/>
  <c r="X8" i="6"/>
  <c r="Y8" i="6"/>
  <c r="Z8" i="6"/>
  <c r="W7" i="6"/>
  <c r="X7" i="6"/>
  <c r="Y7" i="6"/>
  <c r="Z7" i="6"/>
  <c r="W6" i="6"/>
  <c r="X6" i="6"/>
  <c r="Y6" i="6"/>
  <c r="Z6" i="6"/>
  <c r="W5" i="6"/>
  <c r="X5" i="6"/>
  <c r="Y5" i="6"/>
  <c r="Z5" i="6"/>
  <c r="V6" i="6"/>
  <c r="V7" i="6"/>
  <c r="V8" i="6"/>
  <c r="V9" i="6"/>
  <c r="V10" i="6"/>
  <c r="V11" i="6"/>
  <c r="V12" i="6"/>
  <c r="V5" i="6"/>
  <c r="A20" i="6"/>
  <c r="A19" i="6"/>
  <c r="A18" i="6"/>
  <c r="A17" i="6"/>
  <c r="A16" i="6"/>
  <c r="Z13" i="6" l="1"/>
  <c r="AG11" i="6"/>
</calcChain>
</file>

<file path=xl/sharedStrings.xml><?xml version="1.0" encoding="utf-8"?>
<sst xmlns="http://schemas.openxmlformats.org/spreadsheetml/2006/main" count="6583" uniqueCount="875">
  <si>
    <t>Order_ID</t>
  </si>
  <si>
    <t>Date</t>
  </si>
  <si>
    <t>Customer_Name</t>
  </si>
  <si>
    <t>Product</t>
  </si>
  <si>
    <t>Category</t>
  </si>
  <si>
    <t>State</t>
  </si>
  <si>
    <t>Seller</t>
  </si>
  <si>
    <t>Payment_Method</t>
  </si>
  <si>
    <t>Sales</t>
  </si>
  <si>
    <t>Quantity</t>
  </si>
  <si>
    <t>Rating</t>
  </si>
  <si>
    <t>Delivery</t>
  </si>
  <si>
    <t>Month</t>
  </si>
  <si>
    <t>ORD10001</t>
  </si>
  <si>
    <t>21/05/2025</t>
  </si>
  <si>
    <t>Rohit</t>
  </si>
  <si>
    <t>Shampoo</t>
  </si>
  <si>
    <t>Beauty</t>
  </si>
  <si>
    <t>Karnataka</t>
  </si>
  <si>
    <t>BookWorld</t>
  </si>
  <si>
    <t>Cash</t>
  </si>
  <si>
    <t>May</t>
  </si>
  <si>
    <t>ORD10002</t>
  </si>
  <si>
    <t>15/10/2025</t>
  </si>
  <si>
    <t>Kavya</t>
  </si>
  <si>
    <t>Chair</t>
  </si>
  <si>
    <t>Home</t>
  </si>
  <si>
    <t>Gujrat</t>
  </si>
  <si>
    <t>TechStore</t>
  </si>
  <si>
    <t>Net Banking</t>
  </si>
  <si>
    <t>Oct</t>
  </si>
  <si>
    <t>ORD10003</t>
  </si>
  <si>
    <t>21/04/2025</t>
  </si>
  <si>
    <t>Neha</t>
  </si>
  <si>
    <t>iPhone 15</t>
  </si>
  <si>
    <t>Electronics</t>
  </si>
  <si>
    <t>Card</t>
  </si>
  <si>
    <t>Apr</t>
  </si>
  <si>
    <t>ORD10004</t>
  </si>
  <si>
    <t>10/10/2025</t>
  </si>
  <si>
    <t>Rahul</t>
  </si>
  <si>
    <t>Shoes</t>
  </si>
  <si>
    <t>Fashion</t>
  </si>
  <si>
    <t>ORD10005</t>
  </si>
  <si>
    <t>21/08/2025</t>
  </si>
  <si>
    <t>Akash</t>
  </si>
  <si>
    <t>Jeans</t>
  </si>
  <si>
    <t>Aug</t>
  </si>
  <si>
    <t>ORD10006</t>
  </si>
  <si>
    <t>14/07/2025</t>
  </si>
  <si>
    <t>Anjali</t>
  </si>
  <si>
    <t>Business Book</t>
  </si>
  <si>
    <t>Books</t>
  </si>
  <si>
    <t>Telangana</t>
  </si>
  <si>
    <t>BeautyCare</t>
  </si>
  <si>
    <t>Jul</t>
  </si>
  <si>
    <t>ORD10007</t>
  </si>
  <si>
    <t>19/04/2025</t>
  </si>
  <si>
    <t>Divya</t>
  </si>
  <si>
    <t>Bedsheet</t>
  </si>
  <si>
    <t>Maharashtra</t>
  </si>
  <si>
    <t>ORD10008</t>
  </si>
  <si>
    <t>18/09/2025</t>
  </si>
  <si>
    <t>Python Book</t>
  </si>
  <si>
    <t>UPI</t>
  </si>
  <si>
    <t>Sep</t>
  </si>
  <si>
    <t>ORD10009</t>
  </si>
  <si>
    <t>28/09/2025</t>
  </si>
  <si>
    <t>Arjun</t>
  </si>
  <si>
    <t>Lamp</t>
  </si>
  <si>
    <t>ORD10010</t>
  </si>
  <si>
    <t>15/05/2025</t>
  </si>
  <si>
    <t>Ali</t>
  </si>
  <si>
    <t>ORD10011</t>
  </si>
  <si>
    <t>08/09/2025</t>
  </si>
  <si>
    <t>Vikas</t>
  </si>
  <si>
    <t>ORD10012</t>
  </si>
  <si>
    <t>07/03/2025</t>
  </si>
  <si>
    <t>Naveen</t>
  </si>
  <si>
    <t>Mixer</t>
  </si>
  <si>
    <t>Mar</t>
  </si>
  <si>
    <t>ORD10013</t>
  </si>
  <si>
    <t>13/08/2025</t>
  </si>
  <si>
    <t>Delhi</t>
  </si>
  <si>
    <t>ORD10014</t>
  </si>
  <si>
    <t>04/02/2025</t>
  </si>
  <si>
    <t>Perfume</t>
  </si>
  <si>
    <t>Feb</t>
  </si>
  <si>
    <t>ORD10015</t>
  </si>
  <si>
    <t>08/04/2025</t>
  </si>
  <si>
    <t>Watch</t>
  </si>
  <si>
    <t>ORD10016</t>
  </si>
  <si>
    <t>09/04/2025</t>
  </si>
  <si>
    <t>ORD10017</t>
  </si>
  <si>
    <t>17/02/2025</t>
  </si>
  <si>
    <t>ORD10018</t>
  </si>
  <si>
    <t>27/05/2025</t>
  </si>
  <si>
    <t>AirPods Pro</t>
  </si>
  <si>
    <t>ORD10019</t>
  </si>
  <si>
    <t>27/10/2025</t>
  </si>
  <si>
    <t>Tamil Nadu</t>
  </si>
  <si>
    <t>ORD10020</t>
  </si>
  <si>
    <t>19/10/2025</t>
  </si>
  <si>
    <t>Priya</t>
  </si>
  <si>
    <t>HomeMart</t>
  </si>
  <si>
    <t>ORD10021</t>
  </si>
  <si>
    <t>09/03/2025</t>
  </si>
  <si>
    <t>ORD10022</t>
  </si>
  <si>
    <t>05/02/2025</t>
  </si>
  <si>
    <t>Cookbook</t>
  </si>
  <si>
    <t>ORD10023</t>
  </si>
  <si>
    <t>24/02/2025</t>
  </si>
  <si>
    <t>Pooja</t>
  </si>
  <si>
    <t>Laptop</t>
  </si>
  <si>
    <t>ORD10024</t>
  </si>
  <si>
    <t>22/05/2025</t>
  </si>
  <si>
    <t>Lipstick</t>
  </si>
  <si>
    <t>ORD10025</t>
  </si>
  <si>
    <t>20/12/2025</t>
  </si>
  <si>
    <t>Dec</t>
  </si>
  <si>
    <t>ORD10026</t>
  </si>
  <si>
    <t>16/12/2025</t>
  </si>
  <si>
    <t>Aman</t>
  </si>
  <si>
    <t>ORD10027</t>
  </si>
  <si>
    <t>20/06/2025</t>
  </si>
  <si>
    <t>Sanjay</t>
  </si>
  <si>
    <t>Jun</t>
  </si>
  <si>
    <t>ORD10028</t>
  </si>
  <si>
    <t>27/04/2025</t>
  </si>
  <si>
    <t>Kiran</t>
  </si>
  <si>
    <t>MacBook Air</t>
  </si>
  <si>
    <t>ORD10029</t>
  </si>
  <si>
    <t>14/05/2025</t>
  </si>
  <si>
    <t>Vijay</t>
  </si>
  <si>
    <t>ORD10030</t>
  </si>
  <si>
    <t>11/05/2025</t>
  </si>
  <si>
    <t>ORD10031</t>
  </si>
  <si>
    <t>06/12/2025</t>
  </si>
  <si>
    <t>ORD10032</t>
  </si>
  <si>
    <t>13/12/2025</t>
  </si>
  <si>
    <t>ORD10033</t>
  </si>
  <si>
    <t>12/12/2025</t>
  </si>
  <si>
    <t>ORD10034</t>
  </si>
  <si>
    <t>13/01/2025</t>
  </si>
  <si>
    <t>Jan</t>
  </si>
  <si>
    <t>ORD10035</t>
  </si>
  <si>
    <t>Meena</t>
  </si>
  <si>
    <t>Novel</t>
  </si>
  <si>
    <t>ORD10036</t>
  </si>
  <si>
    <t>08/10/2025</t>
  </si>
  <si>
    <t>ORD10037</t>
  </si>
  <si>
    <t>ORD10038</t>
  </si>
  <si>
    <t>28/07/2025</t>
  </si>
  <si>
    <t>ORD10039</t>
  </si>
  <si>
    <t>30/06/2025</t>
  </si>
  <si>
    <t>ORD10040</t>
  </si>
  <si>
    <t>22/06/2025</t>
  </si>
  <si>
    <t>ORD10041</t>
  </si>
  <si>
    <t>25/08/2025</t>
  </si>
  <si>
    <t>T-Shirt</t>
  </si>
  <si>
    <t>ORD10042</t>
  </si>
  <si>
    <t>10/01/2025</t>
  </si>
  <si>
    <t>ORD10043</t>
  </si>
  <si>
    <t>09/12/2025</t>
  </si>
  <si>
    <t>ORD10044</t>
  </si>
  <si>
    <t>Sony Headphones</t>
  </si>
  <si>
    <t>ORD10045</t>
  </si>
  <si>
    <t>05/12/2025</t>
  </si>
  <si>
    <t>ORD10046</t>
  </si>
  <si>
    <t>25/09/2025</t>
  </si>
  <si>
    <t>Sneha</t>
  </si>
  <si>
    <t>ORD10047</t>
  </si>
  <si>
    <t>26/08/2025</t>
  </si>
  <si>
    <t>ORD10048</t>
  </si>
  <si>
    <t>22/09/2025</t>
  </si>
  <si>
    <t>ORD10049</t>
  </si>
  <si>
    <t>27/07/2025</t>
  </si>
  <si>
    <t>ORD10050</t>
  </si>
  <si>
    <t>29/04/2025</t>
  </si>
  <si>
    <t>Ria</t>
  </si>
  <si>
    <t>ORD10051</t>
  </si>
  <si>
    <t>21/02/2025</t>
  </si>
  <si>
    <t>ORD10052</t>
  </si>
  <si>
    <t>22/02/2025</t>
  </si>
  <si>
    <t>ORD10053</t>
  </si>
  <si>
    <t>07/02/2025</t>
  </si>
  <si>
    <t>ORD10054</t>
  </si>
  <si>
    <t>02/06/2025</t>
  </si>
  <si>
    <t>ORD10055</t>
  </si>
  <si>
    <t>22/03/2025</t>
  </si>
  <si>
    <t>ORD10056</t>
  </si>
  <si>
    <t>17/11/2025</t>
  </si>
  <si>
    <t>Nov</t>
  </si>
  <si>
    <t>ORD10057</t>
  </si>
  <si>
    <t>ORD10058</t>
  </si>
  <si>
    <t>09/05/2025</t>
  </si>
  <si>
    <t>ORD10059</t>
  </si>
  <si>
    <t>23/05/2025</t>
  </si>
  <si>
    <t>ORD10060</t>
  </si>
  <si>
    <t>22/12/2025</t>
  </si>
  <si>
    <t>ORD10061</t>
  </si>
  <si>
    <t>31/07/2025</t>
  </si>
  <si>
    <t>ORD10062</t>
  </si>
  <si>
    <t>04/03/2025</t>
  </si>
  <si>
    <t>ORD10063</t>
  </si>
  <si>
    <t>13/09/2025</t>
  </si>
  <si>
    <t>ORD10064</t>
  </si>
  <si>
    <t>24/06/2025</t>
  </si>
  <si>
    <t>ORD10065</t>
  </si>
  <si>
    <t>06/10/2025</t>
  </si>
  <si>
    <t>ORD10066</t>
  </si>
  <si>
    <t>11/09/2025</t>
  </si>
  <si>
    <t>ORD10067</t>
  </si>
  <si>
    <t>02/12/2025</t>
  </si>
  <si>
    <t>ORD10068</t>
  </si>
  <si>
    <t>13/11/2025</t>
  </si>
  <si>
    <t>ORD10069</t>
  </si>
  <si>
    <t>29/01/2025</t>
  </si>
  <si>
    <t>Face Wash</t>
  </si>
  <si>
    <t>ORD10070</t>
  </si>
  <si>
    <t>12/09/2025</t>
  </si>
  <si>
    <t>ORD10071</t>
  </si>
  <si>
    <t>28/10/2025</t>
  </si>
  <si>
    <t>ORD10072</t>
  </si>
  <si>
    <t>22/10/2025</t>
  </si>
  <si>
    <t>ORD10073</t>
  </si>
  <si>
    <t>23/04/2025</t>
  </si>
  <si>
    <t>ORD10074</t>
  </si>
  <si>
    <t>01/06/2025</t>
  </si>
  <si>
    <t>ORD10075</t>
  </si>
  <si>
    <t>ORD10076</t>
  </si>
  <si>
    <t>02/10/2025</t>
  </si>
  <si>
    <t>ORD10077</t>
  </si>
  <si>
    <t>09/11/2025</t>
  </si>
  <si>
    <t>ORD10078</t>
  </si>
  <si>
    <t>01/05/2025</t>
  </si>
  <si>
    <t>ORD10079</t>
  </si>
  <si>
    <t>24/05/2025</t>
  </si>
  <si>
    <t>ORD10080</t>
  </si>
  <si>
    <t>ORD10081</t>
  </si>
  <si>
    <t>ORD10082</t>
  </si>
  <si>
    <t>ORD10083</t>
  </si>
  <si>
    <t>02/02/2025</t>
  </si>
  <si>
    <t>ORD10084</t>
  </si>
  <si>
    <t>03/09/2025</t>
  </si>
  <si>
    <t>ORD10085</t>
  </si>
  <si>
    <t>21/11/2025</t>
  </si>
  <si>
    <t>ORD10086</t>
  </si>
  <si>
    <t>ORD10087</t>
  </si>
  <si>
    <t>ORD10088</t>
  </si>
  <si>
    <t>04/11/2025</t>
  </si>
  <si>
    <t>ORD10089</t>
  </si>
  <si>
    <t>21/10/2025</t>
  </si>
  <si>
    <t>ORD10090</t>
  </si>
  <si>
    <t>ORD10091</t>
  </si>
  <si>
    <t>02/11/2025</t>
  </si>
  <si>
    <t>ORD10092</t>
  </si>
  <si>
    <t>01/08/2025</t>
  </si>
  <si>
    <t>ORD10093</t>
  </si>
  <si>
    <t>03/11/2025</t>
  </si>
  <si>
    <t>ORD10094</t>
  </si>
  <si>
    <t>08/03/2025</t>
  </si>
  <si>
    <t>ORD10095</t>
  </si>
  <si>
    <t>09/02/2025</t>
  </si>
  <si>
    <t>ORD10096</t>
  </si>
  <si>
    <t>ORD10097</t>
  </si>
  <si>
    <t>ORD10098</t>
  </si>
  <si>
    <t>05/11/2025</t>
  </si>
  <si>
    <t>ORD10099</t>
  </si>
  <si>
    <t>ORD10100</t>
  </si>
  <si>
    <t>ORD10101</t>
  </si>
  <si>
    <t>14/09/2025</t>
  </si>
  <si>
    <t>ORD10102</t>
  </si>
  <si>
    <t>06/07/2025</t>
  </si>
  <si>
    <t>ORD10103</t>
  </si>
  <si>
    <t>03/12/2025</t>
  </si>
  <si>
    <t>ORD10104</t>
  </si>
  <si>
    <t>26/11/2025</t>
  </si>
  <si>
    <t>ORD10105</t>
  </si>
  <si>
    <t>06/09/2025</t>
  </si>
  <si>
    <t>ORD10106</t>
  </si>
  <si>
    <t>ORD10107</t>
  </si>
  <si>
    <t>18/08/2025</t>
  </si>
  <si>
    <t>ORD10108</t>
  </si>
  <si>
    <t>06/11/2025</t>
  </si>
  <si>
    <t>ORD10109</t>
  </si>
  <si>
    <t>12/08/2025</t>
  </si>
  <si>
    <t>ORD10110</t>
  </si>
  <si>
    <t>13/06/2025</t>
  </si>
  <si>
    <t>ORD10111</t>
  </si>
  <si>
    <t>10/02/2025</t>
  </si>
  <si>
    <t>ORD10112</t>
  </si>
  <si>
    <t>03/08/2025</t>
  </si>
  <si>
    <t>ORD10113</t>
  </si>
  <si>
    <t>04/05/2025</t>
  </si>
  <si>
    <t>ORD10114</t>
  </si>
  <si>
    <t>09/01/2025</t>
  </si>
  <si>
    <t>ORD10115</t>
  </si>
  <si>
    <t>23/12/2025</t>
  </si>
  <si>
    <t>ORD10116</t>
  </si>
  <si>
    <t>23/07/2025</t>
  </si>
  <si>
    <t>ORD10117</t>
  </si>
  <si>
    <t>14/08/2025</t>
  </si>
  <si>
    <t>ORD10118</t>
  </si>
  <si>
    <t>07/10/2025</t>
  </si>
  <si>
    <t>ORD10119</t>
  </si>
  <si>
    <t>17/08/2025</t>
  </si>
  <si>
    <t>ORD10120</t>
  </si>
  <si>
    <t>16/01/2025</t>
  </si>
  <si>
    <t>ORD10121</t>
  </si>
  <si>
    <t>10/07/2025</t>
  </si>
  <si>
    <t>ORD10122</t>
  </si>
  <si>
    <t>ORD10123</t>
  </si>
  <si>
    <t>16/08/2025</t>
  </si>
  <si>
    <t>ORD10124</t>
  </si>
  <si>
    <t>ORD10125</t>
  </si>
  <si>
    <t>ORD10126</t>
  </si>
  <si>
    <t>ORD10127</t>
  </si>
  <si>
    <t>ORD10128</t>
  </si>
  <si>
    <t>16/10/2025</t>
  </si>
  <si>
    <t>ORD10129</t>
  </si>
  <si>
    <t>25/11/2025</t>
  </si>
  <si>
    <t>ORD10130</t>
  </si>
  <si>
    <t>ORD10131</t>
  </si>
  <si>
    <t>07/05/2025</t>
  </si>
  <si>
    <t>ORD10132</t>
  </si>
  <si>
    <t>21/09/2025</t>
  </si>
  <si>
    <t>ORD10133</t>
  </si>
  <si>
    <t>ORD10134</t>
  </si>
  <si>
    <t>ORD10135</t>
  </si>
  <si>
    <t>11/07/2025</t>
  </si>
  <si>
    <t>ORD10136</t>
  </si>
  <si>
    <t>18/03/2025</t>
  </si>
  <si>
    <t>ORD10137</t>
  </si>
  <si>
    <t>08/07/2025</t>
  </si>
  <si>
    <t>ORD10138</t>
  </si>
  <si>
    <t>29/03/2025</t>
  </si>
  <si>
    <t>ORD10139</t>
  </si>
  <si>
    <t>ORD10140</t>
  </si>
  <si>
    <t>ORD10141</t>
  </si>
  <si>
    <t>ORD10142</t>
  </si>
  <si>
    <t>ORD10143</t>
  </si>
  <si>
    <t>05/05/2025</t>
  </si>
  <si>
    <t>ORD10144</t>
  </si>
  <si>
    <t>09/10/2025</t>
  </si>
  <si>
    <t>ORD10145</t>
  </si>
  <si>
    <t>01/04/2025</t>
  </si>
  <si>
    <t>ORD10146</t>
  </si>
  <si>
    <t>20/05/2025</t>
  </si>
  <si>
    <t>ORD10147</t>
  </si>
  <si>
    <t>31/03/2025</t>
  </si>
  <si>
    <t>ORD10148</t>
  </si>
  <si>
    <t>16/07/2025</t>
  </si>
  <si>
    <t>ORD10149</t>
  </si>
  <si>
    <t>27/08/2025</t>
  </si>
  <si>
    <t>ORD10150</t>
  </si>
  <si>
    <t>20/03/2025</t>
  </si>
  <si>
    <t>ORD10151</t>
  </si>
  <si>
    <t>ORD10152</t>
  </si>
  <si>
    <t>16/02/2025</t>
  </si>
  <si>
    <t>ORD10153</t>
  </si>
  <si>
    <t>02/01/2025</t>
  </si>
  <si>
    <t>ORD10154</t>
  </si>
  <si>
    <t>11/03/2025</t>
  </si>
  <si>
    <t>ORD10155</t>
  </si>
  <si>
    <t>25/04/2025</t>
  </si>
  <si>
    <t>ORD10156</t>
  </si>
  <si>
    <t>27/02/2025</t>
  </si>
  <si>
    <t>ORD10157</t>
  </si>
  <si>
    <t>25/07/2025</t>
  </si>
  <si>
    <t>ORD10158</t>
  </si>
  <si>
    <t>15/03/2025</t>
  </si>
  <si>
    <t>ORD10159</t>
  </si>
  <si>
    <t>26/09/2025</t>
  </si>
  <si>
    <t>ORD10160</t>
  </si>
  <si>
    <t>ORD10161</t>
  </si>
  <si>
    <t>27/01/2025</t>
  </si>
  <si>
    <t>ORD10162</t>
  </si>
  <si>
    <t>ORD10163</t>
  </si>
  <si>
    <t>04/07/2025</t>
  </si>
  <si>
    <t>ORD10164</t>
  </si>
  <si>
    <t>11/10/2025</t>
  </si>
  <si>
    <t>ORD10165</t>
  </si>
  <si>
    <t>24/08/2025</t>
  </si>
  <si>
    <t>ORD10166</t>
  </si>
  <si>
    <t>12/03/2025</t>
  </si>
  <si>
    <t>ORD10167</t>
  </si>
  <si>
    <t>30/09/2025</t>
  </si>
  <si>
    <t>ORD10168</t>
  </si>
  <si>
    <t>ORD10169</t>
  </si>
  <si>
    <t>ORD10170</t>
  </si>
  <si>
    <t>11/08/2025</t>
  </si>
  <si>
    <t>ORD10171</t>
  </si>
  <si>
    <t>02/04/2025</t>
  </si>
  <si>
    <t>ORD10172</t>
  </si>
  <si>
    <t>ORD10173</t>
  </si>
  <si>
    <t>19/08/2025</t>
  </si>
  <si>
    <t>ORD10174</t>
  </si>
  <si>
    <t>18/05/2025</t>
  </si>
  <si>
    <t>ORD10175</t>
  </si>
  <si>
    <t>14/02/2025</t>
  </si>
  <si>
    <t>ORD10176</t>
  </si>
  <si>
    <t>30/05/2025</t>
  </si>
  <si>
    <t>ORD10177</t>
  </si>
  <si>
    <t>16/03/2025</t>
  </si>
  <si>
    <t>ORD10178</t>
  </si>
  <si>
    <t>23/08/2025</t>
  </si>
  <si>
    <t>ORD10179</t>
  </si>
  <si>
    <t>03/06/2025</t>
  </si>
  <si>
    <t>ORD10180</t>
  </si>
  <si>
    <t>ORD10181</t>
  </si>
  <si>
    <t>21/12/2025</t>
  </si>
  <si>
    <t>ORD10182</t>
  </si>
  <si>
    <t>26/10/2025</t>
  </si>
  <si>
    <t>ORD10183</t>
  </si>
  <si>
    <t>27/03/2025</t>
  </si>
  <si>
    <t>ORD10184</t>
  </si>
  <si>
    <t>ORD10185</t>
  </si>
  <si>
    <t>22/08/2025</t>
  </si>
  <si>
    <t>ORD10186</t>
  </si>
  <si>
    <t>25/06/2025</t>
  </si>
  <si>
    <t>ORD10187</t>
  </si>
  <si>
    <t>06/04/2025</t>
  </si>
  <si>
    <t>ORD10188</t>
  </si>
  <si>
    <t>23/10/2025</t>
  </si>
  <si>
    <t>ORD10189</t>
  </si>
  <si>
    <t>ORD10190</t>
  </si>
  <si>
    <t>03/05/2025</t>
  </si>
  <si>
    <t>ORD10191</t>
  </si>
  <si>
    <t>12/10/2025</t>
  </si>
  <si>
    <t>ORD10192</t>
  </si>
  <si>
    <t>ORD10193</t>
  </si>
  <si>
    <t>28/03/2025</t>
  </si>
  <si>
    <t>ORD10194</t>
  </si>
  <si>
    <t>06/08/2025</t>
  </si>
  <si>
    <t>ORD10195</t>
  </si>
  <si>
    <t>30/12/2025</t>
  </si>
  <si>
    <t>ORD10196</t>
  </si>
  <si>
    <t>ORD10197</t>
  </si>
  <si>
    <t>ORD10198</t>
  </si>
  <si>
    <t>17/06/2025</t>
  </si>
  <si>
    <t>ORD10199</t>
  </si>
  <si>
    <t>ORD10200</t>
  </si>
  <si>
    <t>ORD10201</t>
  </si>
  <si>
    <t>12/02/2025</t>
  </si>
  <si>
    <t>ORD10202</t>
  </si>
  <si>
    <t>02/09/2025</t>
  </si>
  <si>
    <t>ORD10203</t>
  </si>
  <si>
    <t>ORD10204</t>
  </si>
  <si>
    <t>ORD10205</t>
  </si>
  <si>
    <t>29/06/2025</t>
  </si>
  <si>
    <t>ORD10206</t>
  </si>
  <si>
    <t>20/07/2025</t>
  </si>
  <si>
    <t>ORD10207</t>
  </si>
  <si>
    <t>18/07/2025</t>
  </si>
  <si>
    <t>ORD10208</t>
  </si>
  <si>
    <t>17/09/2025</t>
  </si>
  <si>
    <t>ORD10209</t>
  </si>
  <si>
    <t>21/03/2025</t>
  </si>
  <si>
    <t>ORD10210</t>
  </si>
  <si>
    <t>03/03/2025</t>
  </si>
  <si>
    <t>ORD10211</t>
  </si>
  <si>
    <t>21/06/2025</t>
  </si>
  <si>
    <t>ORD10212</t>
  </si>
  <si>
    <t>ORD10213</t>
  </si>
  <si>
    <t>ORD10214</t>
  </si>
  <si>
    <t>ORD10215</t>
  </si>
  <si>
    <t>ORD10216</t>
  </si>
  <si>
    <t>30/04/2025</t>
  </si>
  <si>
    <t>ORD10217</t>
  </si>
  <si>
    <t>14/03/2025</t>
  </si>
  <si>
    <t>ORD10218</t>
  </si>
  <si>
    <t>23/11/2025</t>
  </si>
  <si>
    <t>ORD10219</t>
  </si>
  <si>
    <t>ORD10220</t>
  </si>
  <si>
    <t>17/04/2025</t>
  </si>
  <si>
    <t>ORD10221</t>
  </si>
  <si>
    <t>31/12/2025</t>
  </si>
  <si>
    <t>ORD10222</t>
  </si>
  <si>
    <t>ORD10223</t>
  </si>
  <si>
    <t>03/02/2025</t>
  </si>
  <si>
    <t>ORD10224</t>
  </si>
  <si>
    <t>15/07/2025</t>
  </si>
  <si>
    <t>ORD10225</t>
  </si>
  <si>
    <t>ORD10226</t>
  </si>
  <si>
    <t>26/06/2025</t>
  </si>
  <si>
    <t>ORD10227</t>
  </si>
  <si>
    <t>23/03/2025</t>
  </si>
  <si>
    <t>ORD10228</t>
  </si>
  <si>
    <t>31/10/2025</t>
  </si>
  <si>
    <t>ORD10229</t>
  </si>
  <si>
    <t>20/01/2025</t>
  </si>
  <si>
    <t>ORD10230</t>
  </si>
  <si>
    <t>15/06/2025</t>
  </si>
  <si>
    <t>ORD10231</t>
  </si>
  <si>
    <t>ORD10232</t>
  </si>
  <si>
    <t>ORD10233</t>
  </si>
  <si>
    <t>ORD10234</t>
  </si>
  <si>
    <t>ORD10235</t>
  </si>
  <si>
    <t>ORD10236</t>
  </si>
  <si>
    <t>ORD10237</t>
  </si>
  <si>
    <t>ORD10238</t>
  </si>
  <si>
    <t>ORD10239</t>
  </si>
  <si>
    <t>11/02/2025</t>
  </si>
  <si>
    <t>ORD10240</t>
  </si>
  <si>
    <t>09/07/2025</t>
  </si>
  <si>
    <t>ORD10241</t>
  </si>
  <si>
    <t>05/10/2025</t>
  </si>
  <si>
    <t>ORD10242</t>
  </si>
  <si>
    <t>ORD10243</t>
  </si>
  <si>
    <t>06/03/2025</t>
  </si>
  <si>
    <t>ORD10244</t>
  </si>
  <si>
    <t>ORD10245</t>
  </si>
  <si>
    <t>ORD10246</t>
  </si>
  <si>
    <t>26/07/2025</t>
  </si>
  <si>
    <t>ORD10247</t>
  </si>
  <si>
    <t>09/06/2025</t>
  </si>
  <si>
    <t>ORD10248</t>
  </si>
  <si>
    <t>ORD10249</t>
  </si>
  <si>
    <t>30/03/2025</t>
  </si>
  <si>
    <t>ORD10250</t>
  </si>
  <si>
    <t>22/11/2025</t>
  </si>
  <si>
    <t>ORD10251</t>
  </si>
  <si>
    <t>19/12/2025</t>
  </si>
  <si>
    <t>ORD10252</t>
  </si>
  <si>
    <t>20/09/2025</t>
  </si>
  <si>
    <t>ORD10253</t>
  </si>
  <si>
    <t>28/06/2025</t>
  </si>
  <si>
    <t>ORD10254</t>
  </si>
  <si>
    <t>ORD10255</t>
  </si>
  <si>
    <t>30/01/2025</t>
  </si>
  <si>
    <t>ORD10256</t>
  </si>
  <si>
    <t>ORD10257</t>
  </si>
  <si>
    <t>13/05/2025</t>
  </si>
  <si>
    <t>ORD10258</t>
  </si>
  <si>
    <t>ORD10259</t>
  </si>
  <si>
    <t>19/03/2025</t>
  </si>
  <si>
    <t>ORD10260</t>
  </si>
  <si>
    <t>03/01/2025</t>
  </si>
  <si>
    <t>ORD10261</t>
  </si>
  <si>
    <t>ORD10262</t>
  </si>
  <si>
    <t>ORD10263</t>
  </si>
  <si>
    <t>ORD10264</t>
  </si>
  <si>
    <t>29/10/2025</t>
  </si>
  <si>
    <t>ORD10265</t>
  </si>
  <si>
    <t>02/08/2025</t>
  </si>
  <si>
    <t>ORD10266</t>
  </si>
  <si>
    <t>15/11/2025</t>
  </si>
  <si>
    <t>ORD10267</t>
  </si>
  <si>
    <t>03/07/2025</t>
  </si>
  <si>
    <t>ORD10268</t>
  </si>
  <si>
    <t>ORD10269</t>
  </si>
  <si>
    <t>ORD10270</t>
  </si>
  <si>
    <t>ORD10271</t>
  </si>
  <si>
    <t>ORD10272</t>
  </si>
  <si>
    <t>17/12/2025</t>
  </si>
  <si>
    <t>ORD10273</t>
  </si>
  <si>
    <t>10/08/2025</t>
  </si>
  <si>
    <t>ORD10274</t>
  </si>
  <si>
    <t>08/02/2025</t>
  </si>
  <si>
    <t>ORD10275</t>
  </si>
  <si>
    <t>15/02/2025</t>
  </si>
  <si>
    <t>ORD10276</t>
  </si>
  <si>
    <t>ORD10277</t>
  </si>
  <si>
    <t>19/02/2025</t>
  </si>
  <si>
    <t>ORD10278</t>
  </si>
  <si>
    <t>ORD10279</t>
  </si>
  <si>
    <t>ORD10280</t>
  </si>
  <si>
    <t>ORD10281</t>
  </si>
  <si>
    <t>ORD10282</t>
  </si>
  <si>
    <t>15/09/2025</t>
  </si>
  <si>
    <t>ORD10283</t>
  </si>
  <si>
    <t>ORD10284</t>
  </si>
  <si>
    <t>15/04/2025</t>
  </si>
  <si>
    <t>ORD10285</t>
  </si>
  <si>
    <t>ORD10286</t>
  </si>
  <si>
    <t>10/04/2025</t>
  </si>
  <si>
    <t>ORD10287</t>
  </si>
  <si>
    <t>ORD10288</t>
  </si>
  <si>
    <t>09/09/2025</t>
  </si>
  <si>
    <t>ORD10289</t>
  </si>
  <si>
    <t>20/04/2025</t>
  </si>
  <si>
    <t>ORD10290</t>
  </si>
  <si>
    <t>21/01/2025</t>
  </si>
  <si>
    <t>ORD10291</t>
  </si>
  <si>
    <t>30/11/2025</t>
  </si>
  <si>
    <t>ORD10292</t>
  </si>
  <si>
    <t>03/10/2025</t>
  </si>
  <si>
    <t>ORD10293</t>
  </si>
  <si>
    <t>06/02/2025</t>
  </si>
  <si>
    <t>ORD10294</t>
  </si>
  <si>
    <t>ORD10295</t>
  </si>
  <si>
    <t>ORD10296</t>
  </si>
  <si>
    <t>05/03/2025</t>
  </si>
  <si>
    <t>ORD10297</t>
  </si>
  <si>
    <t>12/11/2025</t>
  </si>
  <si>
    <t>ORD10298</t>
  </si>
  <si>
    <t>12/04/2025</t>
  </si>
  <si>
    <t>ORD10299</t>
  </si>
  <si>
    <t>04/12/2025</t>
  </si>
  <si>
    <t>ORD10300</t>
  </si>
  <si>
    <t>ORD10301</t>
  </si>
  <si>
    <t>ORD10302</t>
  </si>
  <si>
    <t>19/01/2025</t>
  </si>
  <si>
    <t>ORD10303</t>
  </si>
  <si>
    <t>06/01/2025</t>
  </si>
  <si>
    <t>ORD10304</t>
  </si>
  <si>
    <t>ORD10305</t>
  </si>
  <si>
    <t>ORD10306</t>
  </si>
  <si>
    <t>ORD10307</t>
  </si>
  <si>
    <t>ORD10308</t>
  </si>
  <si>
    <t>18/04/2025</t>
  </si>
  <si>
    <t>ORD10309</t>
  </si>
  <si>
    <t>ORD10310</t>
  </si>
  <si>
    <t>ORD10311</t>
  </si>
  <si>
    <t>28/04/2025</t>
  </si>
  <si>
    <t>ORD10312</t>
  </si>
  <si>
    <t>ORD10313</t>
  </si>
  <si>
    <t>ORD10314</t>
  </si>
  <si>
    <t>12/05/2025</t>
  </si>
  <si>
    <t>ORD10315</t>
  </si>
  <si>
    <t>ORD10316</t>
  </si>
  <si>
    <t>14/10/2025</t>
  </si>
  <si>
    <t>ORD10317</t>
  </si>
  <si>
    <t>23/06/2025</t>
  </si>
  <si>
    <t>ORD10318</t>
  </si>
  <si>
    <t>08/11/2025</t>
  </si>
  <si>
    <t>ORD10319</t>
  </si>
  <si>
    <t>ORD10320</t>
  </si>
  <si>
    <t>ORD10321</t>
  </si>
  <si>
    <t>26/04/2025</t>
  </si>
  <si>
    <t>ORD10322</t>
  </si>
  <si>
    <t>ORD10323</t>
  </si>
  <si>
    <t>ORD10324</t>
  </si>
  <si>
    <t>ORD10325</t>
  </si>
  <si>
    <t>16/04/2025</t>
  </si>
  <si>
    <t>ORD10326</t>
  </si>
  <si>
    <t>04/09/2025</t>
  </si>
  <si>
    <t>ORD10327</t>
  </si>
  <si>
    <t>ORD10328</t>
  </si>
  <si>
    <t>25/10/2025</t>
  </si>
  <si>
    <t>ORD10329</t>
  </si>
  <si>
    <t>ORD10330</t>
  </si>
  <si>
    <t>ORD10331</t>
  </si>
  <si>
    <t>ORD10332</t>
  </si>
  <si>
    <t>ORD10333</t>
  </si>
  <si>
    <t>11/12/2025</t>
  </si>
  <si>
    <t>ORD10334</t>
  </si>
  <si>
    <t>ORD10335</t>
  </si>
  <si>
    <t>ORD10336</t>
  </si>
  <si>
    <t>ORD10337</t>
  </si>
  <si>
    <t>ORD10338</t>
  </si>
  <si>
    <t>04/10/2025</t>
  </si>
  <si>
    <t>ORD10339</t>
  </si>
  <si>
    <t>ORD10340</t>
  </si>
  <si>
    <t>ORD10341</t>
  </si>
  <si>
    <t>22/07/2025</t>
  </si>
  <si>
    <t>ORD10342</t>
  </si>
  <si>
    <t>ORD10343</t>
  </si>
  <si>
    <t>ORD10344</t>
  </si>
  <si>
    <t>22/04/2025</t>
  </si>
  <si>
    <t>ORD10345</t>
  </si>
  <si>
    <t>ORD10346</t>
  </si>
  <si>
    <t>18/02/2025</t>
  </si>
  <si>
    <t>ORD10347</t>
  </si>
  <si>
    <t>ORD10348</t>
  </si>
  <si>
    <t>22/01/2025</t>
  </si>
  <si>
    <t>ORD10349</t>
  </si>
  <si>
    <t>26/12/2025</t>
  </si>
  <si>
    <t>ORD10350</t>
  </si>
  <si>
    <t>10/03/2025</t>
  </si>
  <si>
    <t>ORD10351</t>
  </si>
  <si>
    <t>ORD10352</t>
  </si>
  <si>
    <t>14/11/2025</t>
  </si>
  <si>
    <t>ORD10353</t>
  </si>
  <si>
    <t>26/02/2025</t>
  </si>
  <si>
    <t>ORD10354</t>
  </si>
  <si>
    <t>ORD10355</t>
  </si>
  <si>
    <t>ORD10356</t>
  </si>
  <si>
    <t>ORD10357</t>
  </si>
  <si>
    <t>ORD10358</t>
  </si>
  <si>
    <t>16/06/2025</t>
  </si>
  <si>
    <t>ORD10359</t>
  </si>
  <si>
    <t>ORD10360</t>
  </si>
  <si>
    <t>ORD10361</t>
  </si>
  <si>
    <t>ORD10362</t>
  </si>
  <si>
    <t>ORD10363</t>
  </si>
  <si>
    <t>01/12/2025</t>
  </si>
  <si>
    <t>ORD10364</t>
  </si>
  <si>
    <t>ORD10365</t>
  </si>
  <si>
    <t>24/07/2025</t>
  </si>
  <si>
    <t>ORD10366</t>
  </si>
  <si>
    <t>09/08/2025</t>
  </si>
  <si>
    <t>ORD10367</t>
  </si>
  <si>
    <t>ORD10368</t>
  </si>
  <si>
    <t>ORD10369</t>
  </si>
  <si>
    <t>ORD10370</t>
  </si>
  <si>
    <t>28/01/2025</t>
  </si>
  <si>
    <t>ORD10371</t>
  </si>
  <si>
    <t>ORD10372</t>
  </si>
  <si>
    <t>ORD10373</t>
  </si>
  <si>
    <t>ORD10374</t>
  </si>
  <si>
    <t>07/08/2025</t>
  </si>
  <si>
    <t>ORD10375</t>
  </si>
  <si>
    <t>ORD10376</t>
  </si>
  <si>
    <t>30/07/2025</t>
  </si>
  <si>
    <t>ORD10377</t>
  </si>
  <si>
    <t>ORD10378</t>
  </si>
  <si>
    <t>25/03/2025</t>
  </si>
  <si>
    <t>ORD10379</t>
  </si>
  <si>
    <t>ORD10380</t>
  </si>
  <si>
    <t>ORD10381</t>
  </si>
  <si>
    <t>ORD10382</t>
  </si>
  <si>
    <t>21/07/2025</t>
  </si>
  <si>
    <t>ORD10383</t>
  </si>
  <si>
    <t>ORD10384</t>
  </si>
  <si>
    <t>17/10/2025</t>
  </si>
  <si>
    <t>ORD10385</t>
  </si>
  <si>
    <t>ORD10386</t>
  </si>
  <si>
    <t>ORD10387</t>
  </si>
  <si>
    <t>ORD10388</t>
  </si>
  <si>
    <t>ORD10389</t>
  </si>
  <si>
    <t>27/09/2025</t>
  </si>
  <si>
    <t>ORD10390</t>
  </si>
  <si>
    <t>ORD10391</t>
  </si>
  <si>
    <t>ORD10392</t>
  </si>
  <si>
    <t>ORD10393</t>
  </si>
  <si>
    <t>19/06/2025</t>
  </si>
  <si>
    <t>ORD10394</t>
  </si>
  <si>
    <t>24/09/2025</t>
  </si>
  <si>
    <t>ORD10395</t>
  </si>
  <si>
    <t>12/07/2025</t>
  </si>
  <si>
    <t>ORD10396</t>
  </si>
  <si>
    <t>ORD10397</t>
  </si>
  <si>
    <t>05/09/2025</t>
  </si>
  <si>
    <t>ORD10398</t>
  </si>
  <si>
    <t>ORD10399</t>
  </si>
  <si>
    <t>24/11/2025</t>
  </si>
  <si>
    <t>ORD10400</t>
  </si>
  <si>
    <t>08/01/2025</t>
  </si>
  <si>
    <t>ORD10401</t>
  </si>
  <si>
    <t>ORD10402</t>
  </si>
  <si>
    <t>ORD10403</t>
  </si>
  <si>
    <t>08/06/2025</t>
  </si>
  <si>
    <t>ORD10404</t>
  </si>
  <si>
    <t>ORD10405</t>
  </si>
  <si>
    <t>ORD10406</t>
  </si>
  <si>
    <t>ORD10407</t>
  </si>
  <si>
    <t>ORD10408</t>
  </si>
  <si>
    <t>ORD10409</t>
  </si>
  <si>
    <t>ORD10410</t>
  </si>
  <si>
    <t>ORD10411</t>
  </si>
  <si>
    <t>13/03/2025</t>
  </si>
  <si>
    <t>ORD10412</t>
  </si>
  <si>
    <t>ORD10413</t>
  </si>
  <si>
    <t>ORD10414</t>
  </si>
  <si>
    <t>18/10/2025</t>
  </si>
  <si>
    <t>ORD10415</t>
  </si>
  <si>
    <t>ORD10416</t>
  </si>
  <si>
    <t>ORD10417</t>
  </si>
  <si>
    <t>24/10/2025</t>
  </si>
  <si>
    <t>ORD10418</t>
  </si>
  <si>
    <t>ORD10419</t>
  </si>
  <si>
    <t>03/04/2025</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</si>
  <si>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</si>
  <si>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</si>
  <si>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</si>
  <si>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</si>
  <si>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</si>
  <si>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</si>
  <si>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</si>
  <si>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</si>
  <si>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</si>
  <si>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</si>
  <si>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</si>
  <si>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</si>
  <si>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</si>
  <si>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</si>
  <si>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</si>
  <si>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</si>
  <si>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</si>
  <si>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</si>
  <si>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</si>
  <si>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</si>
  <si>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18/11/2025</t>
  </si>
  <si>
    <t>ORD10440</t>
  </si>
  <si>
    <t>ORD10441</t>
  </si>
  <si>
    <t>ORD10442</t>
  </si>
  <si>
    <t>ORD10443</t>
  </si>
  <si>
    <t>ORD10444</t>
  </si>
  <si>
    <t>20/11/2025</t>
  </si>
  <si>
    <t>ORD10445</t>
  </si>
  <si>
    <t>ORD10446</t>
  </si>
  <si>
    <t>ORD10447</t>
  </si>
  <si>
    <t>ORD10448</t>
  </si>
  <si>
    <t>ORD10449</t>
  </si>
  <si>
    <t>ORD10450</t>
  </si>
  <si>
    <t>19/05/2025</t>
  </si>
  <si>
    <t>ORD10451</t>
  </si>
  <si>
    <t>07/07/2025</t>
  </si>
  <si>
    <t>ORD10452</t>
  </si>
  <si>
    <t>ORD10453</t>
  </si>
  <si>
    <t>20/08/2025</t>
  </si>
  <si>
    <t>ORD10454</t>
  </si>
  <si>
    <t>ORD10455</t>
  </si>
  <si>
    <t>27/11/2025</t>
  </si>
  <si>
    <t>ORD10456</t>
  </si>
  <si>
    <t>ORD10457</t>
  </si>
  <si>
    <t>ORD10458</t>
  </si>
  <si>
    <t>ORD10459</t>
  </si>
  <si>
    <t>01/10/2025</t>
  </si>
  <si>
    <t>ORD10460</t>
  </si>
  <si>
    <t>ORD10461</t>
  </si>
  <si>
    <t>ORD10462</t>
  </si>
  <si>
    <t>ORD10463</t>
  </si>
  <si>
    <t>ORD10464</t>
  </si>
  <si>
    <t>ORD10465</t>
  </si>
  <si>
    <t>ORD10466</t>
  </si>
  <si>
    <t>ORD10467</t>
  </si>
  <si>
    <t>ORD10468</t>
  </si>
  <si>
    <t>ORD10469</t>
  </si>
  <si>
    <t>ORD10470</t>
  </si>
  <si>
    <t>ORD10471</t>
  </si>
  <si>
    <t>ORD10472</t>
  </si>
  <si>
    <t>ORD10473</t>
  </si>
  <si>
    <t>02/03/2025</t>
  </si>
  <si>
    <t>ORD10474</t>
  </si>
  <si>
    <t>ORD10475</t>
  </si>
  <si>
    <t>ORD10476</t>
  </si>
  <si>
    <t>16/09/2025</t>
  </si>
  <si>
    <t>ORD10477</t>
  </si>
  <si>
    <t>ORD10478</t>
  </si>
  <si>
    <t>ORD10479</t>
  </si>
  <si>
    <t>18/12/2025</t>
  </si>
  <si>
    <t>ORD10480</t>
  </si>
  <si>
    <t>ORD10481</t>
  </si>
  <si>
    <t>ORD10482</t>
  </si>
  <si>
    <t>17/03/2025</t>
  </si>
  <si>
    <t>ORD10483</t>
  </si>
  <si>
    <t>ORD10484</t>
  </si>
  <si>
    <t>ORD10485</t>
  </si>
  <si>
    <t>15/08/2025</t>
  </si>
  <si>
    <t>ORD10486</t>
  </si>
  <si>
    <t>07/09/2025</t>
  </si>
  <si>
    <t>ORD10487</t>
  </si>
  <si>
    <t>ORD10488</t>
  </si>
  <si>
    <t>08/08/2025</t>
  </si>
  <si>
    <t>ORD10489</t>
  </si>
  <si>
    <t>ORD10490</t>
  </si>
  <si>
    <t>ORD10491</t>
  </si>
  <si>
    <t>ORD10492</t>
  </si>
  <si>
    <t>ORD10493</t>
  </si>
  <si>
    <t>ORD10494</t>
  </si>
  <si>
    <t>ORD10495</t>
  </si>
  <si>
    <t>ORD10496</t>
  </si>
  <si>
    <t>ORD10497</t>
  </si>
  <si>
    <t>ORD10498</t>
  </si>
  <si>
    <t>ORD10499</t>
  </si>
  <si>
    <t>ORD10500</t>
  </si>
  <si>
    <t>29/07/2025</t>
  </si>
  <si>
    <t>Row Labels</t>
  </si>
  <si>
    <t>Grand Total</t>
  </si>
  <si>
    <t>Sum of Sales</t>
  </si>
  <si>
    <t>Count of Order_ID</t>
  </si>
  <si>
    <t>Sum of Quantity</t>
  </si>
  <si>
    <t>Average of Rating</t>
  </si>
  <si>
    <t>Average of Delivery</t>
  </si>
  <si>
    <t>Values</t>
  </si>
  <si>
    <t>Total</t>
  </si>
  <si>
    <t>order_id</t>
  </si>
  <si>
    <t>Name</t>
  </si>
  <si>
    <t>state</t>
  </si>
  <si>
    <t>sales</t>
  </si>
  <si>
    <t>%</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</si>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</sst>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quot;M&quot;"/>
    <numFmt numFmtId="165" formatCode="0.0,&quot;k&quot;"/>
    <numFmt numFmtId="166" formatCode="_([$$-409]* #,##0.00_);_([$$-409]* \(#,##0.00\);_([$$-409]* &quot;-&quot;??_);_(@_)"/>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scheme val="minor"/>
    </font>
    <font>
      <sz val="11"/>
      <color rgb="FF000000"/>
      <name val="Aptos Narrow"/>
      <family val="2"/>
      <scheme val="minor"/>
    </font>
  </fonts>
  <fills count="5">
    <fill>
      <patternFill patternType="none"/>
    </fill>
    <fill>
      <patternFill patternType="gray125"/>
    </fill>
    <fill>
      <patternFill patternType="solid">
        <fgColor theme="7"/>
        <bgColor indexed="64"/>
      </patternFill>
    </fill>
    <fill>
      <patternFill patternType="solid">
        <fgColor theme="7"/>
        <bgColor theme="4" tint="0.79998168889431442"/>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165" fontId="0" fillId="0" borderId="0" xfId="0" applyNumberFormat="1"/>
    <xf numFmtId="0" fontId="3" fillId="2" borderId="1" xfId="0" applyFont="1" applyFill="1" applyBorder="1"/>
    <xf numFmtId="0" fontId="0" fillId="0" borderId="1" xfId="0" applyBorder="1"/>
    <xf numFmtId="166" fontId="0" fillId="0" borderId="1" xfId="0" applyNumberFormat="1" applyBorder="1"/>
    <xf numFmtId="166" fontId="3" fillId="2" borderId="1" xfId="0" applyNumberFormat="1" applyFont="1" applyFill="1" applyBorder="1"/>
    <xf numFmtId="0" fontId="0" fillId="0" borderId="1" xfId="0" pivotButton="1" applyBorder="1"/>
    <xf numFmtId="0" fontId="0" fillId="0" borderId="1" xfId="0" applyBorder="1" applyAlignment="1">
      <alignment horizontal="left"/>
    </xf>
    <xf numFmtId="164" fontId="0" fillId="0" borderId="1" xfId="0" applyNumberFormat="1" applyBorder="1"/>
    <xf numFmtId="9" fontId="0" fillId="0" borderId="1" xfId="1" applyFont="1" applyBorder="1"/>
    <xf numFmtId="0" fontId="2" fillId="3" borderId="1" xfId="0" applyFont="1" applyFill="1" applyBorder="1" applyAlignment="1">
      <alignment horizontal="left"/>
    </xf>
    <xf numFmtId="164" fontId="2" fillId="3" borderId="1" xfId="0" applyNumberFormat="1" applyFont="1" applyFill="1" applyBorder="1"/>
    <xf numFmtId="9" fontId="0" fillId="2" borderId="1" xfId="1" applyFont="1" applyFill="1" applyBorder="1"/>
    <xf numFmtId="0" fontId="4" fillId="0" borderId="0" xfId="0" applyFont="1"/>
    <xf numFmtId="0" fontId="2" fillId="4" borderId="2" xfId="0" applyFont="1" applyFill="1" applyBorder="1" applyAlignment="1">
      <alignment horizontal="left"/>
    </xf>
    <xf numFmtId="164" fontId="2" fillId="4" borderId="2" xfId="0" applyNumberFormat="1" applyFont="1" applyFill="1" applyBorder="1"/>
    <xf numFmtId="0" fontId="0" fillId="0" borderId="0" xfId="0" applyNumberFormat="1"/>
  </cellXfs>
  <cellStyles count="2">
    <cellStyle name="Normal" xfId="0" builtinId="0"/>
    <cellStyle name="Per cent" xfId="1" builtinId="5"/>
  </cellStyles>
  <dxfs count="24">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2" formatCode="0.00"/>
    </dxf>
    <dxf>
      <numFmt numFmtId="165" formatCode="0.0,&quot;k&quot;"/>
    </dxf>
    <dxf>
      <numFmt numFmtId="164"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quot;M&quot;"/>
    </dxf>
    <dxf>
      <numFmt numFmtId="2" formatCode="0.00"/>
    </dxf>
    <dxf>
      <numFmt numFmtId="164" formatCode="0.0,,&quot;M&quot;"/>
    </dxf>
    <dxf>
      <numFmt numFmtId="2" formatCode="0.00"/>
    </dxf>
    <dxf>
      <numFmt numFmtId="165" formatCode="0.0,&quot;k&quot;"/>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i val="0"/>
        <color theme="1"/>
      </font>
      <border>
        <bottom style="thin">
          <color theme="4"/>
        </bottom>
        <vertical/>
        <horizontal/>
      </border>
    </dxf>
    <dxf>
      <font>
        <b/>
        <i val="0"/>
        <color rgb="FF002060"/>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StyleDark1 2" pivot="0" table="0" count="10" xr9:uid="{5BE26C6E-F0CE-8941-A5E1-EA3B094576F6}">
      <tableStyleElement type="wholeTable" dxfId="23"/>
      <tableStyleElement type="headerRow" dxfId="22"/>
    </tableStyle>
    <tableStyle name="SlicerStyleDark1 3" pivot="0" table="0" count="10" xr9:uid="{DB3C3CFD-7163-4542-B4E2-D05AFB044328}">
      <tableStyleElement type="wholeTable" dxfId="21"/>
      <tableStyleElement type="headerRow" dxfId="20"/>
    </tableStyle>
  </tableStyles>
  <colors>
    <mruColors>
      <color rgb="FFFF26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2060"/>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theme="2" tint="-9.9948118533890809E-2"/>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2060"/>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2">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[Amazon_sales_dashboard.xlsx]pivottable!PivotTable11</c:name>
    <c:fmtId val="2"/>
  </c:pivotSource>
  <c:chart>
    <c:title>
      <c:tx>
        <c:rich>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mn-ea"/>
                <a:cs typeface="Calibri" panose="020F0502020204030204" pitchFamily="34" charset="0"/>
              </a:defRPr>
            </a:pPr>
            <a:r>
              <a:rPr lang="en-US" sz="1500" b="1">
                <a:solidFill>
                  <a:schemeClr val="tx1"/>
                </a:solidFill>
                <a:latin typeface="Calibri" panose="020F0502020204030204" pitchFamily="34" charset="0"/>
                <a:cs typeface="Calibri" panose="020F0502020204030204" pitchFamily="34" charset="0"/>
              </a:rPr>
              <a:t>Sales</a:t>
            </a:r>
          </a:p>
        </c:rich>
      </c:tx>
      <c:layout>
        <c:manualLayout>
          <c:xMode val="edge"/>
          <c:yMode val="edge"/>
          <c:x val="0.23463942977740612"/>
          <c:y val="2.506964888015655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30000">
                <a:srgbClr val="FF0000"/>
              </a:gs>
              <a:gs pos="56000">
                <a:schemeClr val="accent2">
                  <a:lumMod val="75000"/>
                </a:schemeClr>
              </a:gs>
              <a:gs pos="83000">
                <a:schemeClr val="accent2"/>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8669562856367"/>
          <c:y val="0.23870748299319727"/>
          <c:w val="0.81133994026608747"/>
          <c:h val="0.59041994750656168"/>
        </c:manualLayout>
      </c:layout>
      <c:barChart>
        <c:barDir val="col"/>
        <c:grouping val="clustered"/>
        <c:varyColors val="0"/>
        <c:ser>
          <c:idx val="0"/>
          <c:order val="0"/>
          <c:tx>
            <c:strRef>
              <c:f>pivottable!$E$3</c:f>
              <c:strCache>
                <c:ptCount val="1"/>
                <c:pt idx="0">
                  <c:v>Total</c:v>
                </c:pt>
              </c:strCache>
            </c:strRef>
          </c:tx>
          <c:spPr>
            <a:gradFill flip="none" rotWithShape="1">
              <a:gsLst>
                <a:gs pos="30000">
                  <a:srgbClr val="FF0000"/>
                </a:gs>
                <a:gs pos="56000">
                  <a:schemeClr val="accent2">
                    <a:lumMod val="75000"/>
                  </a:schemeClr>
                </a:gs>
                <a:gs pos="83000">
                  <a:schemeClr val="accent2"/>
                </a:gs>
              </a:gsLst>
              <a:lin ang="135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pivottable!$E$4:$E$16</c:f>
              <c:numCache>
                <c:formatCode>0.0,,"M"</c:formatCode>
                <c:ptCount val="12"/>
                <c:pt idx="0">
                  <c:v>1480730</c:v>
                </c:pt>
                <c:pt idx="1">
                  <c:v>1991453</c:v>
                </c:pt>
                <c:pt idx="2">
                  <c:v>2439516</c:v>
                </c:pt>
                <c:pt idx="3">
                  <c:v>1723736</c:v>
                </c:pt>
                <c:pt idx="4">
                  <c:v>2226405</c:v>
                </c:pt>
                <c:pt idx="5">
                  <c:v>1483670</c:v>
                </c:pt>
                <c:pt idx="6">
                  <c:v>2566476</c:v>
                </c:pt>
                <c:pt idx="7">
                  <c:v>1323566</c:v>
                </c:pt>
                <c:pt idx="8">
                  <c:v>1648464</c:v>
                </c:pt>
                <c:pt idx="9">
                  <c:v>1876219</c:v>
                </c:pt>
                <c:pt idx="10">
                  <c:v>948995</c:v>
                </c:pt>
                <c:pt idx="11">
                  <c:v>3297187</c:v>
                </c:pt>
              </c:numCache>
            </c:numRef>
          </c:val>
          <c:extLst>
            <c:ext xmlns:c16="http://schemas.microsoft.com/office/drawing/2014/chart" uri="{C3380CC4-5D6E-409C-BE32-E72D297353CC}">
              <c16:uniqueId val="{00000000-C50A-B549-92E8-6330162F4C52}"/>
            </c:ext>
          </c:extLst>
        </c:ser>
        <c:dLbls>
          <c:showLegendKey val="0"/>
          <c:showVal val="0"/>
          <c:showCatName val="0"/>
          <c:showSerName val="0"/>
          <c:showPercent val="0"/>
          <c:showBubbleSize val="0"/>
        </c:dLbls>
        <c:gapWidth val="219"/>
        <c:overlap val="-27"/>
        <c:axId val="1594475840"/>
        <c:axId val="1504418368"/>
      </c:barChart>
      <c:catAx>
        <c:axId val="15944758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04418368"/>
        <c:crosses val="autoZero"/>
        <c:auto val="1"/>
        <c:lblAlgn val="ctr"/>
        <c:lblOffset val="100"/>
        <c:noMultiLvlLbl val="0"/>
      </c:catAx>
      <c:valAx>
        <c:axId val="1504418368"/>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9447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0"/>
      <c:rotY val="0"/>
      <c:depthPercent val="100"/>
      <c:rAngAx val="0"/>
    </c:view3D>
    <c:floor>
      <c:thickness val="0"/>
      <c:spPr>
        <a:solidFill>
          <a:schemeClr val="lt1"/>
        </a:solid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17335513192695595"/>
          <c:y val="0.19395652933609245"/>
          <c:w val="0.80164806573091418"/>
          <c:h val="0.463436380034149"/>
        </c:manualLayout>
      </c:layout>
      <c:bar3DChart>
        <c:barDir val="col"/>
        <c:grouping val="clustered"/>
        <c:varyColors val="0"/>
        <c:ser>
          <c:idx val="0"/>
          <c:order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pivottable!$J$14:$J$19</c:f>
              <c:numCache>
                <c:formatCode>General</c:formatCode>
                <c:ptCount val="6"/>
              </c:numCache>
            </c:numRef>
          </c:cat>
          <c:val>
            <c:numRef>
              <c:f>pivottable!$K$14:$K$19</c:f>
              <c:numCache>
                <c:formatCode>0.0,,"M"</c:formatCode>
                <c:ptCount val="6"/>
              </c:numCache>
            </c:numRef>
          </c:val>
          <c:shape val="cylinder"/>
          <c:extLst>
            <c:ext xmlns:c16="http://schemas.microsoft.com/office/drawing/2014/chart" uri="{C3380CC4-5D6E-409C-BE32-E72D297353CC}">
              <c16:uniqueId val="{00000000-87BD-134E-A068-A968C39CA630}"/>
            </c:ext>
          </c:extLst>
        </c:ser>
        <c:dLbls>
          <c:showLegendKey val="0"/>
          <c:showVal val="0"/>
          <c:showCatName val="0"/>
          <c:showSerName val="0"/>
          <c:showPercent val="0"/>
          <c:showBubbleSize val="0"/>
        </c:dLbls>
        <c:gapWidth val="160"/>
        <c:gapDepth val="0"/>
        <c:shape val="box"/>
        <c:axId val="1433656320"/>
        <c:axId val="1433659456"/>
        <c:axId val="0"/>
      </c:bar3DChart>
      <c:catAx>
        <c:axId val="1433656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33659456"/>
        <c:crosses val="autoZero"/>
        <c:auto val="1"/>
        <c:lblAlgn val="ctr"/>
        <c:lblOffset val="100"/>
        <c:noMultiLvlLbl val="0"/>
      </c:catAx>
      <c:valAx>
        <c:axId val="1433659456"/>
        <c:scaling>
          <c:orientation val="minMax"/>
        </c:scaling>
        <c:delete val="1"/>
        <c:axPos val="l"/>
        <c:numFmt formatCode="0.0,,&quot;M&quot;" sourceLinked="1"/>
        <c:majorTickMark val="none"/>
        <c:minorTickMark val="none"/>
        <c:tickLblPos val="nextTo"/>
        <c:crossAx val="14336563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[Amazon_sales_dashboard.xlsx]pivottable!PivotTable12</c:name>
    <c:fmtId val="4"/>
  </c:pivotSource>
  <c:chart>
    <c:autoTitleDeleted val="1"/>
    <c:pivotFmts>
      <c:pivotFmt>
        <c:idx val="0"/>
      </c:pivotFmt>
      <c:pivotFmt>
        <c:idx val="1"/>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286823605091054"/>
          <c:y val="0.30750825171246737"/>
          <c:w val="0.80521878972599592"/>
          <c:h val="0.36764230560006972"/>
        </c:manualLayout>
      </c:layout>
      <c:bar3DChart>
        <c:barDir val="col"/>
        <c:grouping val="clustered"/>
        <c:varyColors val="0"/>
        <c:ser>
          <c:idx val="0"/>
          <c:order val="0"/>
          <c:tx>
            <c:strRef>
              <c:f>pivottable!$H$3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pivottable!$G$4:$G$9</c:f>
              <c:strCache>
                <c:ptCount val="5"/>
                <c:pt idx="0">
                  <c:v>Beauty</c:v>
                </c:pt>
                <c:pt idx="1">
                  <c:v>Books</c:v>
                </c:pt>
                <c:pt idx="2">
                  <c:v>Fashion</c:v>
                </c:pt>
                <c:pt idx="3">
                  <c:v>Home</c:v>
                </c:pt>
                <c:pt idx="4">
                  <c:v>Electronics</c:v>
                </c:pt>
              </c:strCache>
            </c:strRef>
          </c:cat>
          <c:val>
            <c:numRef>
              <c:f>pivottable!$H$4:$H$9</c:f>
              <c:numCache>
                <c:formatCode>0.0,,"M"</c:formatCode>
                <c:ptCount val="5"/>
                <c:pt idx="0">
                  <c:v>490618</c:v>
                </c:pt>
                <c:pt idx="1">
                  <c:v>570604</c:v>
                </c:pt>
                <c:pt idx="2">
                  <c:v>1790583</c:v>
                </c:pt>
                <c:pt idx="3">
                  <c:v>2691079</c:v>
                </c:pt>
                <c:pt idx="4">
                  <c:v>17463533</c:v>
                </c:pt>
              </c:numCache>
            </c:numRef>
          </c:val>
          <c:shape val="cylinder"/>
          <c:extLst>
            <c:ext xmlns:c16="http://schemas.microsoft.com/office/drawing/2014/chart" uri="{C3380CC4-5D6E-409C-BE32-E72D297353CC}">
              <c16:uniqueId val="{00000000-7444-BD4A-B261-2FB6B0511989}"/>
            </c:ext>
          </c:extLst>
        </c:ser>
        <c:dLbls>
          <c:showLegendKey val="0"/>
          <c:showVal val="0"/>
          <c:showCatName val="0"/>
          <c:showSerName val="0"/>
          <c:showPercent val="0"/>
          <c:showBubbleSize val="0"/>
        </c:dLbls>
        <c:gapWidth val="160"/>
        <c:gapDepth val="0"/>
        <c:shape val="box"/>
        <c:axId val="290468095"/>
        <c:axId val="290461375"/>
        <c:axId val="0"/>
      </c:bar3DChart>
      <c:catAx>
        <c:axId val="290468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90461375"/>
        <c:crosses val="autoZero"/>
        <c:auto val="1"/>
        <c:lblAlgn val="ctr"/>
        <c:lblOffset val="100"/>
        <c:noMultiLvlLbl val="0"/>
      </c:catAx>
      <c:valAx>
        <c:axId val="290461375"/>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9046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4787964230741412"/>
          <c:y val="0.22294489077822749"/>
          <c:w val="0.33196026925593991"/>
          <c:h val="0.36056034666448739"/>
        </c:manualLayout>
      </c:layout>
      <c:barChart>
        <c:barDir val="col"/>
        <c:grouping val="clustered"/>
        <c:varyColors val="0"/>
        <c:ser>
          <c:idx val="0"/>
          <c:order val="0"/>
          <c:spPr>
            <a:solidFill>
              <a:schemeClr val="accent5">
                <a:lumMod val="50000"/>
              </a:schemeClr>
            </a:solidFill>
            <a:ln>
              <a:solidFill>
                <a:schemeClr val="accent5">
                  <a:lumMod val="50000"/>
                </a:schemeClr>
              </a:solidFill>
            </a:ln>
            <a:effectLst/>
          </c:spPr>
          <c:invertIfNegative val="0"/>
          <c:cat>
            <c:strRef>
              <c:f>pivottable!$AE$5:$AE$10</c:f>
              <c:strCache>
                <c:ptCount val="6"/>
                <c:pt idx="0">
                  <c:v>Delhi</c:v>
                </c:pt>
                <c:pt idx="1">
                  <c:v>Gujrat</c:v>
                </c:pt>
                <c:pt idx="2">
                  <c:v>Karnataka</c:v>
                </c:pt>
                <c:pt idx="3">
                  <c:v>Maharashtra</c:v>
                </c:pt>
                <c:pt idx="4">
                  <c:v>Tamil Nadu</c:v>
                </c:pt>
                <c:pt idx="5">
                  <c:v>Telangana</c:v>
                </c:pt>
              </c:strCache>
            </c:strRef>
          </c:cat>
          <c:val>
            <c:numRef>
              <c:f>pivottable!$AF$5:$AF$10</c:f>
              <c:numCache>
                <c:formatCode>General</c:formatCode>
                <c:ptCount val="6"/>
                <c:pt idx="0">
                  <c:v>3353882</c:v>
                </c:pt>
                <c:pt idx="1">
                  <c:v>4389497</c:v>
                </c:pt>
                <c:pt idx="2">
                  <c:v>5312858</c:v>
                </c:pt>
                <c:pt idx="3">
                  <c:v>3463152</c:v>
                </c:pt>
                <c:pt idx="4">
                  <c:v>3050638</c:v>
                </c:pt>
                <c:pt idx="5">
                  <c:v>3436390</c:v>
                </c:pt>
              </c:numCache>
            </c:numRef>
          </c:val>
          <c:extLst>
            <c:ext xmlns:c16="http://schemas.microsoft.com/office/drawing/2014/chart" uri="{C3380CC4-5D6E-409C-BE32-E72D297353CC}">
              <c16:uniqueId val="{00000000-3D5B-954A-8341-7344E2695C5F}"/>
            </c:ext>
          </c:extLst>
        </c:ser>
        <c:dLbls>
          <c:showLegendKey val="0"/>
          <c:showVal val="0"/>
          <c:showCatName val="0"/>
          <c:showSerName val="0"/>
          <c:showPercent val="0"/>
          <c:showBubbleSize val="0"/>
        </c:dLbls>
        <c:gapWidth val="219"/>
        <c:overlap val="-27"/>
        <c:axId val="323425983"/>
        <c:axId val="323427327"/>
      </c:barChart>
      <c:lineChart>
        <c:grouping val="standard"/>
        <c:varyColors val="0"/>
        <c:ser>
          <c:idx val="1"/>
          <c:order val="1"/>
          <c:spPr>
            <a:ln w="28575" cap="rnd">
              <a:solidFill>
                <a:schemeClr val="accent2"/>
              </a:solidFill>
              <a:round/>
            </a:ln>
            <a:effectLst/>
          </c:spPr>
          <c:marker>
            <c:symbol val="none"/>
          </c:marker>
          <c:cat>
            <c:strRef>
              <c:f>pivottable!$AE$5:$AE$10</c:f>
              <c:strCache>
                <c:ptCount val="6"/>
                <c:pt idx="0">
                  <c:v>Delhi</c:v>
                </c:pt>
                <c:pt idx="1">
                  <c:v>Gujrat</c:v>
                </c:pt>
                <c:pt idx="2">
                  <c:v>Karnataka</c:v>
                </c:pt>
                <c:pt idx="3">
                  <c:v>Maharashtra</c:v>
                </c:pt>
                <c:pt idx="4">
                  <c:v>Tamil Nadu</c:v>
                </c:pt>
                <c:pt idx="5">
                  <c:v>Telangana</c:v>
                </c:pt>
              </c:strCache>
            </c:strRef>
          </c:cat>
          <c:val>
            <c:numRef>
              <c:f>pivottable!$AG$5:$AG$10</c:f>
              <c:numCache>
                <c:formatCode>0%</c:formatCode>
                <c:ptCount val="6"/>
                <c:pt idx="0">
                  <c:v>0.14578028382255265</c:v>
                </c:pt>
                <c:pt idx="1">
                  <c:v>0.19079446399671882</c:v>
                </c:pt>
                <c:pt idx="2">
                  <c:v>0.23092939678525343</c:v>
                </c:pt>
                <c:pt idx="3">
                  <c:v>0.15052982826487063</c:v>
                </c:pt>
                <c:pt idx="4">
                  <c:v>0.13259943953897732</c:v>
                </c:pt>
                <c:pt idx="5">
                  <c:v>0.14936658759162716</c:v>
                </c:pt>
              </c:numCache>
            </c:numRef>
          </c:val>
          <c:smooth val="0"/>
          <c:extLst>
            <c:ext xmlns:c16="http://schemas.microsoft.com/office/drawing/2014/chart" uri="{C3380CC4-5D6E-409C-BE32-E72D297353CC}">
              <c16:uniqueId val="{00000001-3D5B-954A-8341-7344E2695C5F}"/>
            </c:ext>
          </c:extLst>
        </c:ser>
        <c:dLbls>
          <c:showLegendKey val="0"/>
          <c:showVal val="0"/>
          <c:showCatName val="0"/>
          <c:showSerName val="0"/>
          <c:showPercent val="0"/>
          <c:showBubbleSize val="0"/>
        </c:dLbls>
        <c:marker val="1"/>
        <c:smooth val="0"/>
        <c:axId val="322642239"/>
        <c:axId val="322646719"/>
      </c:lineChart>
      <c:catAx>
        <c:axId val="3234259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500" b="1" i="0" u="none" strike="noStrike" kern="1200" baseline="0">
                <a:solidFill>
                  <a:schemeClr val="tx1"/>
                </a:solidFill>
                <a:latin typeface="+mn-lt"/>
                <a:ea typeface="+mn-ea"/>
                <a:cs typeface="+mn-cs"/>
              </a:defRPr>
            </a:pPr>
            <a:endParaRPr lang="en-US"/>
          </a:p>
        </c:txPr>
        <c:crossAx val="323427327"/>
        <c:crosses val="autoZero"/>
        <c:auto val="1"/>
        <c:lblAlgn val="ctr"/>
        <c:lblOffset val="100"/>
        <c:noMultiLvlLbl val="0"/>
      </c:catAx>
      <c:valAx>
        <c:axId val="323427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500" b="1" i="0" u="none" strike="noStrike" kern="1200" baseline="0">
                <a:solidFill>
                  <a:schemeClr val="tx1"/>
                </a:solidFill>
                <a:latin typeface="+mn-lt"/>
                <a:ea typeface="+mn-ea"/>
                <a:cs typeface="+mn-cs"/>
              </a:defRPr>
            </a:pPr>
            <a:endParaRPr lang="en-US"/>
          </a:p>
        </c:txPr>
        <c:crossAx val="323425983"/>
        <c:crosses val="autoZero"/>
        <c:crossBetween val="between"/>
      </c:valAx>
      <c:valAx>
        <c:axId val="32264671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600" b="1" i="0" u="none" strike="noStrike" kern="1200" baseline="0">
                <a:solidFill>
                  <a:schemeClr val="tx1"/>
                </a:solidFill>
                <a:latin typeface="+mn-lt"/>
                <a:ea typeface="+mn-ea"/>
                <a:cs typeface="+mn-cs"/>
              </a:defRPr>
            </a:pPr>
            <a:endParaRPr lang="en-US"/>
          </a:p>
        </c:txPr>
        <c:crossAx val="322642239"/>
        <c:crosses val="max"/>
        <c:crossBetween val="between"/>
      </c:valAx>
      <c:catAx>
        <c:axId val="322642239"/>
        <c:scaling>
          <c:orientation val="minMax"/>
        </c:scaling>
        <c:delete val="1"/>
        <c:axPos val="b"/>
        <c:numFmt formatCode="General" sourceLinked="1"/>
        <c:majorTickMark val="none"/>
        <c:minorTickMark val="none"/>
        <c:tickLblPos val="nextTo"/>
        <c:crossAx val="322646719"/>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[Amazon_sales_dashboard.xlsx]pivottable!PivotTable13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5">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5">
              <a:lumMod val="5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2389356158087411"/>
          <c:y val="0.16571620871874632"/>
          <c:w val="0.45023973503064429"/>
          <c:h val="0.81778233408564405"/>
        </c:manualLayout>
      </c:layout>
      <c:doughnutChart>
        <c:varyColors val="1"/>
        <c:ser>
          <c:idx val="0"/>
          <c:order val="0"/>
          <c:tx>
            <c:strRef>
              <c:f>pivottable!$K$3</c:f>
              <c:strCache>
                <c:ptCount val="1"/>
                <c:pt idx="0">
                  <c:v>Total</c:v>
                </c:pt>
              </c:strCache>
            </c:strRef>
          </c:tx>
          <c:dPt>
            <c:idx val="0"/>
            <c:bubble3D val="0"/>
            <c:spPr>
              <a:solidFill>
                <a:schemeClr val="accent5">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771-B74F-9D9F-DAAA132800AC}"/>
              </c:ext>
            </c:extLst>
          </c:dPt>
          <c:dPt>
            <c:idx val="1"/>
            <c:bubble3D val="0"/>
            <c:spPr>
              <a:solidFill>
                <a:schemeClr val="accent5">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771-B74F-9D9F-DAAA132800AC}"/>
              </c:ext>
            </c:extLst>
          </c:dPt>
          <c:dPt>
            <c:idx val="2"/>
            <c:bubble3D val="0"/>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771-B74F-9D9F-DAAA132800AC}"/>
              </c:ext>
            </c:extLst>
          </c:dPt>
          <c:dPt>
            <c:idx val="3"/>
            <c:bubble3D val="0"/>
            <c:spPr>
              <a:solidFill>
                <a:schemeClr val="accent5">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771-B74F-9D9F-DAAA132800A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pivottable!$J$4:$J$8</c:f>
              <c:strCache>
                <c:ptCount val="4"/>
                <c:pt idx="0">
                  <c:v>Card</c:v>
                </c:pt>
                <c:pt idx="1">
                  <c:v>Cash</c:v>
                </c:pt>
                <c:pt idx="2">
                  <c:v>Net Banking</c:v>
                </c:pt>
                <c:pt idx="3">
                  <c:v>UPI</c:v>
                </c:pt>
              </c:strCache>
            </c:strRef>
          </c:cat>
          <c:val>
            <c:numRef>
              <c:f>pivottable!$K$4:$K$8</c:f>
              <c:numCache>
                <c:formatCode>0.0,,"M"</c:formatCode>
                <c:ptCount val="4"/>
                <c:pt idx="0">
                  <c:v>5522910</c:v>
                </c:pt>
                <c:pt idx="1">
                  <c:v>5037484</c:v>
                </c:pt>
                <c:pt idx="2">
                  <c:v>6132531</c:v>
                </c:pt>
                <c:pt idx="3">
                  <c:v>6313492</c:v>
                </c:pt>
              </c:numCache>
            </c:numRef>
          </c:val>
          <c:extLst>
            <c:ext xmlns:c16="http://schemas.microsoft.com/office/drawing/2014/chart" uri="{C3380CC4-5D6E-409C-BE32-E72D297353CC}">
              <c16:uniqueId val="{00000008-D771-B74F-9D9F-DAAA132800A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[Amazon_sales_dashboard.xlsx]pivottable!PivotTable14</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50000"/>
              </a:schemeClr>
            </a:solidFill>
            <a:round/>
          </a:ln>
          <a:effectLst/>
        </c:spPr>
        <c:marker>
          <c:symbol val="circle"/>
          <c:size val="5"/>
        </c:marker>
        <c:dLbl>
          <c:idx val="0"/>
          <c:layout>
            <c:manualLayout>
              <c:x val="-3.8935809055794711E-2"/>
              <c:y val="-7.759679402362119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layout>
            <c:manualLayout>
              <c:x val="-0.10382882414878589"/>
              <c:y val="7.759679402362119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layout>
            <c:manualLayout>
              <c:x val="-3.0283407043395882E-2"/>
              <c:y val="6.035306201837196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layout>
            <c:manualLayout>
              <c:x val="-6.0566814086791765E-2"/>
              <c:y val="-7.759679402362119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layout>
            <c:manualLayout>
              <c:x val="-3.0283407043395882E-2"/>
              <c:y val="7.759679402362119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336420558975534E-2"/>
          <c:y val="0.11243102106053612"/>
          <c:w val="0.84813552836597073"/>
          <c:h val="0.6400659993248502"/>
        </c:manualLayout>
      </c:layout>
      <c:lineChart>
        <c:grouping val="standard"/>
        <c:varyColors val="0"/>
        <c:ser>
          <c:idx val="0"/>
          <c:order val="0"/>
          <c:tx>
            <c:strRef>
              <c:f>pivottable!$N$3</c:f>
              <c:strCache>
                <c:ptCount val="1"/>
                <c:pt idx="0">
                  <c:v>Total</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Pt>
            <c:idx val="0"/>
            <c:marker>
              <c:symbol val="circle"/>
              <c:size val="5"/>
              <c:spPr>
                <a:solidFill>
                  <a:schemeClr val="accent6">
                    <a:lumMod val="50000"/>
                  </a:schemeClr>
                </a:solidFill>
                <a:ln w="9525">
                  <a:solidFill>
                    <a:schemeClr val="accent6">
                      <a:lumMod val="5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2-ACEE-DE41-AF7F-47F95DEDA55F}"/>
              </c:ext>
            </c:extLst>
          </c:dPt>
          <c:dPt>
            <c:idx val="1"/>
            <c:marker>
              <c:symbol val="circle"/>
              <c:size val="5"/>
              <c:spPr>
                <a:solidFill>
                  <a:schemeClr val="accent6">
                    <a:lumMod val="50000"/>
                  </a:schemeClr>
                </a:solidFill>
                <a:ln w="9525">
                  <a:solidFill>
                    <a:schemeClr val="accent6">
                      <a:lumMod val="5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1-7E2C-CF4E-A823-388710546FDB}"/>
              </c:ext>
            </c:extLst>
          </c:dPt>
          <c:dPt>
            <c:idx val="2"/>
            <c:marker>
              <c:symbol val="circle"/>
              <c:size val="5"/>
              <c:spPr>
                <a:solidFill>
                  <a:schemeClr val="accent6">
                    <a:lumMod val="50000"/>
                  </a:schemeClr>
                </a:solidFill>
                <a:ln w="9525">
                  <a:solidFill>
                    <a:schemeClr val="accent6">
                      <a:lumMod val="5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3-ACEE-DE41-AF7F-47F95DEDA55F}"/>
              </c:ext>
            </c:extLst>
          </c:dPt>
          <c:dPt>
            <c:idx val="3"/>
            <c:marker>
              <c:symbol val="circle"/>
              <c:size val="5"/>
              <c:spPr>
                <a:solidFill>
                  <a:schemeClr val="accent6">
                    <a:lumMod val="50000"/>
                  </a:schemeClr>
                </a:solidFill>
                <a:ln w="9525">
                  <a:solidFill>
                    <a:schemeClr val="accent6">
                      <a:lumMod val="5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4-ACEE-DE41-AF7F-47F95DEDA55F}"/>
              </c:ext>
            </c:extLst>
          </c:dPt>
          <c:dPt>
            <c:idx val="4"/>
            <c:marker>
              <c:symbol val="circle"/>
              <c:size val="5"/>
              <c:spPr>
                <a:solidFill>
                  <a:schemeClr val="accent6">
                    <a:lumMod val="50000"/>
                  </a:schemeClr>
                </a:solidFill>
                <a:ln w="9525">
                  <a:solidFill>
                    <a:schemeClr val="accent6">
                      <a:lumMod val="5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5-ACEE-DE41-AF7F-47F95DEDA55F}"/>
              </c:ext>
            </c:extLst>
          </c:dPt>
          <c:dLbls>
            <c:dLbl>
              <c:idx val="0"/>
              <c:layout>
                <c:manualLayout>
                  <c:x val="-0.10382882414878589"/>
                  <c:y val="7.75967940236211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EE-DE41-AF7F-47F95DEDA55F}"/>
                </c:ext>
              </c:extLst>
            </c:dLbl>
            <c:dLbl>
              <c:idx val="1"/>
              <c:layout>
                <c:manualLayout>
                  <c:x val="-3.8935809055794711E-2"/>
                  <c:y val="-7.75967940236211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E2C-CF4E-A823-388710546FDB}"/>
                </c:ext>
              </c:extLst>
            </c:dLbl>
            <c:dLbl>
              <c:idx val="2"/>
              <c:layout>
                <c:manualLayout>
                  <c:x val="-3.0283407043395882E-2"/>
                  <c:y val="6.03530620183719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EE-DE41-AF7F-47F95DEDA55F}"/>
                </c:ext>
              </c:extLst>
            </c:dLbl>
            <c:dLbl>
              <c:idx val="3"/>
              <c:layout>
                <c:manualLayout>
                  <c:x val="-6.0566814086791765E-2"/>
                  <c:y val="-7.75967940236211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EE-DE41-AF7F-47F95DEDA55F}"/>
                </c:ext>
              </c:extLst>
            </c:dLbl>
            <c:dLbl>
              <c:idx val="4"/>
              <c:layout>
                <c:manualLayout>
                  <c:x val="-3.0283407043395882E-2"/>
                  <c:y val="7.75967940236211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EE-DE41-AF7F-47F95DEDA55F}"/>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pivottable!$M$4:$M$9</c:f>
              <c:strCache>
                <c:ptCount val="5"/>
                <c:pt idx="0">
                  <c:v>AirPods Pro</c:v>
                </c:pt>
                <c:pt idx="1">
                  <c:v>iPhone 15</c:v>
                </c:pt>
                <c:pt idx="2">
                  <c:v>Laptop</c:v>
                </c:pt>
                <c:pt idx="3">
                  <c:v>MacBook Air</c:v>
                </c:pt>
                <c:pt idx="4">
                  <c:v>Sony Headphones</c:v>
                </c:pt>
              </c:strCache>
            </c:strRef>
          </c:cat>
          <c:val>
            <c:numRef>
              <c:f>pivottable!$N$4:$N$9</c:f>
              <c:numCache>
                <c:formatCode>0.0,,"M"</c:formatCode>
                <c:ptCount val="5"/>
                <c:pt idx="0">
                  <c:v>5398413</c:v>
                </c:pt>
                <c:pt idx="1">
                  <c:v>2352917</c:v>
                </c:pt>
                <c:pt idx="2">
                  <c:v>2432276</c:v>
                </c:pt>
                <c:pt idx="3">
                  <c:v>3842259</c:v>
                </c:pt>
                <c:pt idx="4">
                  <c:v>3437668</c:v>
                </c:pt>
              </c:numCache>
            </c:numRef>
          </c:val>
          <c:smooth val="0"/>
          <c:extLst>
            <c:ext xmlns:c16="http://schemas.microsoft.com/office/drawing/2014/chart" uri="{C3380CC4-5D6E-409C-BE32-E72D297353CC}">
              <c16:uniqueId val="{00000000-7E2C-CF4E-A823-388710546FDB}"/>
            </c:ext>
          </c:extLst>
        </c:ser>
        <c:dLbls>
          <c:showLegendKey val="0"/>
          <c:showVal val="0"/>
          <c:showCatName val="0"/>
          <c:showSerName val="0"/>
          <c:showPercent val="0"/>
          <c:showBubbleSize val="0"/>
        </c:dLbls>
        <c:marker val="1"/>
        <c:smooth val="0"/>
        <c:axId val="732116991"/>
        <c:axId val="874168319"/>
      </c:lineChart>
      <c:catAx>
        <c:axId val="73211699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crossAx val="874168319"/>
        <c:crosses val="autoZero"/>
        <c:auto val="1"/>
        <c:lblAlgn val="ctr"/>
        <c:lblOffset val="100"/>
        <c:noMultiLvlLbl val="0"/>
      </c:catAx>
      <c:valAx>
        <c:axId val="874168319"/>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crossAx val="73211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1-A7A7-E24B-91CF-B48644BCF333}" formatIdx="1">
          <cx:spPr>
            <a:ln>
              <a:solidFill>
                <a:schemeClr val="tx1">
                  <a:lumMod val="50000"/>
                  <a:lumOff val="50000"/>
                </a:schemeClr>
              </a:solidFill>
            </a:ln>
          </cx:spPr>
          <cx:dataId val="0"/>
          <cx:layoutPr>
            <cx:geography cultureLanguage="en-GB" cultureRegion="IN" attribution="Powered by Bing">
              <cx:geoCache provider="{E9337A44-BEBE-4D9F-B70C-5C5E7DAFC167}">
                <cx:binary>1Hppk9w2lu1fUehzU8ZGgOiYnogByVxqTdWi7QujVKoiAYIbCHD79XO12G2pZc9Mx7wXPRV22JlM
gpe42znn4t8el78+2qcH92JpbDv+9XH528vK+/6vv/wyPlZPzcP4qtGPrhu7Z//qsWt+6Z6f9ePT
L5/cw6zb8heCMPvlsXpw/ml5+e//BquVT91F9/jgdde+Dk9uvXkag/Xjn1z76aUXD58a3WZ69E4/
evy3l3dP9qEtH9qHly+eWq/9erf2T397+d3PXr745cfF/uHBLyzY5sMnuBeLVwlCPJY4efnCdm35
7XshXyEkEyZjJr/8weWvz7x6aOC+30z5y4tj+0n/qUVf7Hn49Mk9jSO805f//myF794DfrB/+eKx
C63/vIEl7OXfXn57lB679OuFtPv8EserL2/9y/db/+//9sMXsA8/fPM77/y4af/VpX9wzuUDhMDD
WHn3p5vxP3SPfMVighIaS/TlD3/vJf4Ko0RS8s1JMv7eS7+z6Z/208/W+MFTl4d/aU/9PIh+n0Hf
/eJ/mEGEvKIxSTimXxNF/kMiUU5pghj96kHxvYt+kj3fW/Pz7Pl223c//dfOj717aD+9uOv8g/11
B/6ofP0/zNLsyVb6v3r+93Xkz8onSV5xRqlEnP80P8UrjGMmkhh/DQ7+66O/VtEv1vzTmfn93T/k
ZHbxL52T31kLre38wbUP/qH+36yd7JXAiBHGyE99A7WTC4ljcN+XP/q9b36z6J/2zz+u8N1bw0v/
x/8pH909NNq+uHr4FH7dqT9K4P9+AmH8CmGOEUp+KJvJK4YEIij+oV7+3Yh/2i8/WeIHx9wBoPi/
VFqDcQ/+f88p0NK4JByLP8gc/CqWAnEobT+tavtgAAn5f9o/P97/g3P2Z/9/nfPH3ei3zpBB6cq/
IPLfwcY/v/or3vzh1j8D9l8Ry/HT314KBniQJ5gQhmNCY0wAF/6G+z8v+R1Yzx6Aq7z43H6vHkrg
OYeH6cnqF/8BX2QPzUP75VKmf0vrP3zE08Po4en0FSECMCdmcYwEmPHyxfz05Qp6lQgcQ9JSQRHj
n5O67Zyv/vaSoFeCUUwkXACzOZIvX4xd+HYJMcZhPXidz0smv9GoU2fXsmt/28pvn1+0oTl1uvUj
MBgKoLf/+rtvhicJhcjFFHNGYvEZkPWPDzfA1T7//C9DYWZT8o3lxXwf1u5S3uFduato6rTSRZqY
VMc7NN7Q+3ZRMqSbuR8HvdPN22LxmS6iNJlYiurmgyymrK4OVTOqEO1E4vZTn6hibI5V8nFdWFb1
pVFBvw3zB6J9Hq2OK7Td0j5SM1mvaeV2NDrrk2e3pPZQ8LuJXJWfqtaqNr5Yfa3a+bJzIS34c9Py
tHZEVZHSmB9j4xslEb6amjZb5yi11bpveG0UX0K6MLOLoz3ixu0M9mXaBXu1VB9auSnezh+RbO9H
j143w1ZluhSJiuna56MwKWsfvb3myeRVmGqvsBkVLWdlq0G5Vc2CnLAxt6XdjpS6HVrJIWLNWY24
TXlzQRds0rHvr8fgajWULgtRlHODThZbtfTGqIh2T3FgbdoO7D0y0R7clE9dmXeyVKaYd2ysdytb
U+eXzHCX2Xq8pNqfPKdXuKCPteCnpQNb53WNVY/Jm0Wv91207Ugj85Ixo0zCsKq4aBSfYNWy0qey
6YMa5DgqluirYZxTs1z+Lm1+FlsYQMH3sQV5B30JCQzVUXD+Q2zVExoX3UUyX7bm3vmoSxkbT8sU
H6qZ50DlhswKfubrdm/767hZ9jFm575JQrYiOqlmnFpVFPLItT3UEdrpMO+cqQsVCnqiU7dblviW
stgpY8ZsoPp8aM9RYHvXt+d43eEoydu1V73eXse2OiRizh2WVx5c2K/6mbn4Jq7fR7DNRYhT7Zpd
aepdiavUOZ8NM806M14kUmRk6bLSRYd+QycXu91E2WlF8oKz8nJZg5JLs28qf2f6IoWQ3G/yjOEP
PJ6U2cLZwLcr1M2tirpyUEIslZIQlfXa7vpJXyTtpRjsPiqcipvkY+PXg7XoUM5jCbk0orQO28W2
+DxJioe1j3ddG1QDC6qA9KgivJ5BuXhLSHll2jvi3KUr2GHE8127fNhMvJz3ZO1S02LxfihoUFFl
30WG5lWP99xAiMyc7TCXh4G6T2gBG6dmvS7XUKik6OJMehrOh3lQPd8+/HmYEPaTKKFCUkA1gD0l
Awzz+wq0dSip3dwWOe/qpzIKbwvYvsLhD4Or0m1yZ1i4m6Gor7YwXZejO5p5udKaKVyPw84P4qKO
pcnM2B/dJq8r0kDt8jdjItus8vXJVNNzH7f/RXQDcfnBbg6VG+IbCjg0GFAW0Pd2j/1g+wmbIh+E
E8oQelbUYHDcpUvYrHI2VoWtkr2HutiX/BA1UKQGHB6I2C19ux8quyoRbbFyw7ylvRAQsyXJO6IP
IhiiCLdXq55uobDuqV1O2oTbPsL3Gy2zxpFPZbzcNmxUBU181lXOq0LX8GDuu3xJEiiNE3lGoQqq
9D66oM3sIRh7r2w/31TTdJqTcN7zolSat5fVVJgd5/LDIDasaD3dcWyvJ8s2FeL+uY1Mlce0v5t9
9CwratNE82ce2duRm3fNpvduGu0uxs+91ftqKVPZggXlcHQjU1siU1/Fb+YG72kySyXcx7mKjqtO
VNfM+YhVieYUTVWq6/ht2xM16+rAiiVvYn+JIn0aPXSPHpHMJPIQ4bZWVQhvjfP3AyJQx9m7rR7u
S71cB9Ju2RR8ukX+QM2QDiU6xEN7G1fzAZWbar15LFB/ayt/FgjNOIF8N3HGTXIqW3Ts+vk0syQj
NrltMJlUaHgWkMwllqku411ZoR24/gJhm8/TDF1Gv7XLcJhEyL3o03i9RN2FL7Z8XOOdlza1Qis8
vjPbbcFpWuskq8K57OujaYu3DrZwv4pSp6bAu6Ft9km95dXcNspR/1xXVbp4fgqIZYMz74dm80qO
pj0QYlG6UTYow4V/axrxuiupU9EwZK2bZyX76aRj8zhYNqmIPOukORaRfMtGq4qo+5SU0a4PW6u6
rrhoIQ2VnLqTH+oD2eKd6frbZuY3dWnOGVnnbCu4GrZ4TSOL4X6fyS7sRjNnRTm20JneGTIf6LIc
mlBJVbe6UYVv7mnVvivH+GJx9I31Sadi/i7ehrulCT6HqD4OhXjeCD0vQsXzeQxcWVyerwsXKvh1
zVyZ2Dxm20VdQtfi3XUzALwQDj2wcbM5md1NR9eHeqhaVQf/DllaKdzyLtVyPTnm76ctOZtEXymK
dB7Vx5rEb7jAberxkpLK3OGRvwsknKNl+dgsm1RRazNs6SGal2xB6NTwMqvj4k3jZ5W4OnVM3vAQ
XZb1+23YVJeEVBbV1Tjp17TZ8hWinZn+edNErbBjyyJvl5W+JYPed347OjzcFNHHqU6e5YY+LOWi
SrLscJCPhpFMN2JKyzi+KeRTI6BlyJxFVy656vFVTK/bcGMmfXJRkwXaK05vppUob5L7ZhnTGlBH
t/m05VRN/ZIR81Trdd/OSV6P74S8m+NK6YUpap+lrjJM3ofyVpTNnidOJex11DhVjvNNFwiES3Rp
0M1CdK+q7QIVVomVKQ89SnN2dGIXsyavda2k4dAfrvH8KOM+bQR950Oi+Ap5XZN3iTw1y5wK+xqV
QSuolW+HgtRp0HFW6o/zOO6a8LyYLm16+XGh1O7kNH6Men7QrjzUGn+aZuPTIKtG1Z3M1qEuVSzn
jKyD8rJLjqaqhYomOWZJ2bzRa1TmC1nZp8gRrJIoyToqkt3cbeexa++qchDZZvCdrKP33bq+7ert
blvMaSu8SKfe6ZS2lB1LX9u8tUmbC96GbJpbYMPbPtnEwUej4o12KUoATpXVchuxoVQO9fmMmGrM
/OA5wGHsjnwucBp8qzYuPjbTdCbn6ilZw51s+z4dDDkYs5ZZNwI0kUVT54VARpGoyMzk7yzdANo1
OQD1i66nzzWyqcH70vMzxroMd+6ynnuovuyyGuKrdfX7hA4kYwUtd46tlWJzHGXzIHXmYxelI5M+
t3W0qr9UW0GsCADT+lieamKQAgR2p1Hzzm1lq5quqiEaihta4TPYG50Xcp0U6YtVdUL4VLQhKBQl
8JCG335BB99o4jcU+ZWxPHb96nRZfZv9/Pbx3++6Bv75Mo74+5fff4QVvi35mc999+EfqOYfkMmv
c6c/uPjfZZoY+BqwNQIqNhA3SgHL/DHTvHj49FBXvyoRX+nYTxb4yiMT9IqCcE45oDDAIrEEGPWN
R5JXMcUgqiaSwf8QYHjfaCQVr5AAPRVRhoXkiYBL32gkBSEegp1hBIoejUF2/Z/QyCT+DOX/TiMj
ghkgfAT/fg+CmPVdjWtfHewsml0A47ky/VzKNOmbYVJUttu5iNpkH6gbz5CPxVlHEsAkE/fmau6h
R6s2WeMmE4t1b+KoCFejTNY3vWkkS1udtP3O1Q0AGw3he9P0ZnwtasSWVJgmQYqKrdMATMsycikA
siIfKSo6NZqBlB+nZIr649R17HIkMT2zC54fpmJtP/ZVHY+5gxq975rWNWqLtSxTO40cHeaV8w9u
rctO0U4u635FHiFFrJ2G49hFQHuHtWImCz02w5lJuH699CIuU7O54S4WobkNiVgyXoepSBeguu/J
WjenZcFrlC4TqSeAHJu1O6heFVc0rtD7waw1VZJGUHpk7cXN0uoJuqWh06OJo+VMmoad4VCWN3EU
t/mQaHJLYhPeosLFpyaqmhvR1HwfeSYPzPbbfkJLmxcRF8XFFHOarV085LTk0BT4HCW7KbgGKhcJ
1aOcF/BjZMdK5pbwCRhGPW/nfcTp81xMyy0ayu1Jz00zqaLsh/cbqdm1DKvBeTWawqUNM+W9YHZa
VAiNP1W9RFerMQuUtKUHoBvKddrXVkOzM+U03wvMozdQkyqr+CzQfRJwtSrJh7XOdWTRKeEV+Wjw
POzdlgwpJh5q/oLK8QQKQNSprm8bkTd9Ic8Nrf2FaSs3KCAx7UGYQY9H1gzSqRq3/kPD6shlMQvj
U9kUy108dYCQRuYLaA4+SlJRhOSy6x0fU5BZrM28ZGRfD2aU17EMdsj9atoljeXEKrVGttOX8yYW
rZp16Fhupjaiu4Zt4qk1tADBww5xkfam7becD8TiNJKN6RRU4P7Dxmz1DpG++9xBlva6iRcgi5A1
K/SU2TbzIW4FgFjYWNAwNGs07N8UwE4KD1oyHa/VTYyrwcHu8/JdM9LiWZterGfOkuKpLrg/JGYI
+LG3E2pU5TgGItEUG4TUEvtuJxytutNkCb6ArtoWwFdscqzmeXwMvFryyPWhzZBu4PNIxugCR7qr
8ykE+YF122ZOvpp4UGwpYmBla3M/+JJ9WuNNv1/KukiUk4XoM8CBNsWoA0SJopqlDLfzsa9E1akK
gCtSOuKcZaQdbJKirvY4BZ0i7FaJgLxX25o8yclxktWjxHkibGzUtHjxGoViPE58GidlmwDd18rx
o3Tx+NaYCl2xZdt2cRh9lzXVwhPVOzm9jiI2vp1dDLwrnrvzbcPDbrJA9YA0mZ4DayqmvCHSa2Dr
FctJ31rYi6YrtdrM1L9dm7E+b3EdVyDl8JGCTMO6Y+vLhShQZDYVQ1SCRoTmrlJVPMVqMoLnfOym
R7kBTwAZKQggROvmL21t1xsutyrZdUXXF7mN12U/lFG8x71FR9HXIBsQcON7J+vtE0COkufEI6AY
jY8ug6jKSznGdaVIx8TN3PT6dpqi0Cg7cXxEM98ObCzcjU7m6XosCfeKzG2UlXBq4F3XVSKftrna
jUVR3PkAJSelTbntTD0DP41lD3jZo9CmG0vMh1bP3bWxLs7HoZTKyGU5hsJtn8JKuyRdq6rD+7oG
oAVa0wq+D3VfUUAfZf++7/r6vQCKO59JimmXxotwgDWQvwfvLJNCa4mvgaaO6WT9sJ5F8TKPak5G
KvddYrqs0FGoUzTSuYdYNd1HG1N+51mAIBxQkESV82A+4I717+JhBp45DK6zigTm4x3jGxC9rjZ1
q7xwQFlJj/o3o8GmviFJ13hwCYWiUyI2ZDRqETmvzIrmbILt33KhfbQo3q/TciB2Bmjo0DrS637o
3WW56UKruZVrnYmSyCs3CPtxqcrquYpcl/Uj0nclcUC8pKXQboStk70B/bVKbdmJvFgxAMGyFfrA
WhTKLOqG5YxNA2hFdC3sWZgnvqXxZJsxtZ3vrpAh05jhciyzKSmW09wPdMuiNar3U1OhI/YFwFUR
LEuXBsfLbqDUXFCHozglnacH1NNqPy3XLixbqSo41NMrN07bxWr6Pg9N08YKDQzV6cAb81EMdZsD
tTqfFz0HZWyAuzqw8HXfifEttcl85iNAHGm5emAYY40mo7oZ6az0ojuDtIm7t029DkYxPx4EB3Fk
tBtXK7bvbeLkuecN4Id6kExVrbRnFZ1xCenihhqO/hQxUlB2WqhDoOc6fEOT5TXBnVQJmrZPFroB
NGoNcBng+nm5dUu6NkUCKu7ob9oiTM8Mms+elp6eUckfhJt5tgVpD9tMywPx43hPl5gekjoWkLrW
WuUTzJ4GDRpM2tlJngLGdFfbOSzpJpL+DAPBzfmqw6GQeBsU1dq5bNZmudjo4C/askOZnIr60sZQ
yHMzt0Ov8FJ2a8oSHAXlOS7qtJoivB/NKo3a9FAfNzjXc0MMs2cLhNpFknhzvknNzkHPSQal+zC+
kxBn2Ri3ySNfC9J+FkGGa9bY5KZtkDgY71ucsr4oFFki8klCwGTFiNvXg5EgR9tNs7ypS3ZAse/v
UYv0fg7g/k4O1bsGyFQDwny9jaAPlUhhYcRVW0v+iLWPUe7k3KXc+f6DdzJONz/4u4GM4+NS4v7E
PV8uW2fWJJ1rU16N8Shy2olqP8dfNEvbUw+Yi4gPzUbNmoIov9xzphlooHNTPhXVUF03RUQvTOhF
k9oGslDNvcfQQLsQ3k9sFbmYhgRIF50QFICifC9QDdJ8qaflQ8Sr6EMdGAwyjDfLmx746b5KenEN
sjU9k8tcP4O97iTKcf0ot6A7tfXrCPBMO9urySX+Tq5zA+rKOMcmo6VOQGmK1/V1UrpkJ9Z4frMx
zncCNJsHGBIC1OjHei6VHwsQ2wrnW5eSgZZ7cNV8gUvgkpnQhXutHeUDwJfPMwq/WahUpFu8zftQ
OX0mTBS6ffDOFcfeeVRmiVy43Vlc4SuYJ4DUK+apVGRE9brTUzNhtbikpEoTl5zDDGNr0o4towe6
KkFGTTa00TSQgcu0WGf3fvbamczpCoFGstniUnNCuyz2vDpChMgtBRnSP5SVgKY2xwm+qScB+z8m
gc2qbEw4EDgh+IaxargBJXSslQM+dGNWJrMJT2UaESTO9Rgn13gJ6EnjIbEKoqAlOfRdkLYECXZW
deLi29UGXeV6BUigZjdWbV7qrdcZjoDCnJK4mYrdPMXsICzpuqyuGUyW7NQmoM9Dq5guiR77QoEX
yjJdZCf2HPvkxlrSD9km5wT0GWnZs2kiGWetBBFVxtH6oJMIfUoSG8Khmzfo5DXI/p+1fNO2agjD
0qfWmD63o6/SitnymZSdvvFbb9JV9ljvAGNuzecZSr6Jzr0OSTtmTjgoUe2Y8N0KqM1kbMEkl1WS
QJ0KNUgifCwe5DyQG9QCxMgB9coodY2Mbb70fKkBX9vo2YZmA4wW3FFu8OJqm4ZuFxXtkjtBIU0Y
9OUMIjvgfDCoe6By6MnJTKXNi4kvCj4tpw7Zfk3bvpuJQr0rKgVRRdKiGapTYWt2pHVSXteoAcln
5aPAwIAI6FmOzsmUCliyvDeagU3Y0f5NP4sEJi2ysM+d1eTGUbvWAHVqntliCFlkoi0TYQEnuyU6
eOp8zgval2mBAAGqtXQoK1vv87AhiMUe5F4Vo7J/qGzkzutlIwDw8bYdIo/l88pEse6LqBHLJTY6
upuiCVZJqjE+liKpgZIB5yR7GE8UZx3E9ONq5Wfll+HyBjp3XypKtDyHIUZ77D2qe7UsHd2jaAzp
NAizE9BD8tKRIQcVuF5Ua8R2ZKaCyRwCNVd2Eci/6xguwWh2xihB7wAHDLmsZbursaYRJI3tlJiL
rQD1dABhBpTcbDF1uOkYTG9UQ20HKv1gB9UOSL8WCDRL3MsK5KtExueoIQCn4rrICS8+Ak6VewQ5
mcNAeMzhMGP5gbjGf1wRiqmKNC6yciX1h3LsxOtyw+OigB2Ys7mL7H6LmiZdS7/cLUtxWiuP32Nk
q9exdpCXZBEwUOPxcpYM03xgvS3POe9r2Heuz5LKSlCahY73XY3I28FtoDx2uuOfEXpDdxVCulSC
sb5RoMYDmq01+hhDiTlogKV5DYkzXs6tDRBEFMixg3ksaFja+Kykmz12XQAQjRrd3XUlIF6AcPzE
+cJu2dbRo+BjdOrGmOYz78ZVlYZPd0PUgyQGlZcceZkkuVim6g5Sr3hfcbJBaStCD+Wx1FBdwiS1
si1qrmDqV53RouKniRHu1JAkq1aUo/oyjmg4VLqiV5psC0yoW2OunR3KNYtRE2UVCuJYNOU6ZkUw
/nYlVt8HG6aTjMr4EXIXn3Dl5NMwVuPOSVPAXJWsMIqOZobfEt8Bqse1OcYDN5cwHvWLQhNoGY2H
eqVDIDBMThpztG2ostA2zb5IBtA0ZbQcSc/7rLBsOY8svGwtYBFQ2tsBIGvZwdDU0vDWQaur4GmD
3SGY7GcaeXsLIl5y56sQ1WoNPRlVD0PW3VCbPq0oWS67LsI4/Yxc4pSJqr3DDYaBD5vMqWPkWQAZ
hEniUI9jtoTIX6xsEW8+t898quukvbELm99waMrgy23okl2YOv+pZsua/gXIue2LltoDXWNANNYt
Swbz9i6oDYTw6w1aSsisNGhM/7f0QThW9Xe1cP/UfT5EOH6vGn7VCX/71b+GiAgHvFhCGJzr+BPp
8N57ODVUV3BM5ff64e/u/aYawokxRpIEVuRw6hLHcKbym2ooXsHBEwwnP7DAX5TBX0VD/IpxQQic
ZwcSJjkDQ76JhnCAEy4kXCZfD6yAnvirXvqdkgtH+r99/v3ZExinfCcaCoYphcd/nqIKBuIl+nw2
5XdnT6pi7R0QOLIvTdzYvbAc5qAo7qI9yAbxwwig9jVeod4PfY3Sst5AfAHAw8mOstHv5ljMF3Kk
OoWTBrMqTBjSqr+HcVbWTtOWClHHWcUHexS+nz5WOvgjMpoCw/BlBBLb1lIQEpJ4O0Zrk9RpIjS6
KSwA/NYP2zWh/ajswPzBtAGs4AEkbsPDkqN6PkRt755KN62pFzXMyWWjJYQ4Tq6QD/qiTAjOV2J0
Fokw7BpCq5z5RucjTGlArIJJoqw2lw4YznxUhspPpuG4UfGwoh0eC7bv1oBuxab1dd3zYQ+eEVlD
FxhxMD9vZxHWJENwgmNHNtGSlAKL1Koi7sEmGAydS2v2TTKwRpXTWs+AXybQJ+KQvJ6tKTM+9KD9
JKz/iBo7XLEaXbCNf/ASXYKgalTNgBat9mKaxDmM/F5XUTApqGcn0daXEXguW5jwO+r0fuOlO86J
Wfyui7i1aRn9J3tnths3snXpV+kXoEEGGdNNA80hJ6WUmizLuiGsks0hGJwZQfLpe1E1HNtVdX4U
0P2jD9A3B6jjspWVyYzYe61vLev2uhWzHeMcOtQjVF/MI9ifUjf2guKONOVVr3D2tkIHcVrTsQsF
HLRdrheJu0X2rgnriTRfHN9ZrhfMwS+ynCEyraK9xWkyNdFKHPZYBVBfsWQMh5k57vWcQ3KL3BEG
+SLGbTqQnjoyPfODGTp+qLLJfDQ+ZR70Yqp0OK8GQI/jnUFuOceGdM4vgz+m0aRAsWMewjE61ZZ/
shUjVzWZbKgzsFErwzuSpNDk3gpm+8TFU3mQeYPbtaF5vYfUVb8YStiFN5CoK88tX/u2+TyKhX+W
mOb2XNfqXqvA3A4LZ09NYStQKrl7rgsADVits7jzWB73w3xOmzk7b0Luru985yBdq/ZpFpA7Dom0
COdCY2+HuFlEVA0aEtR0I+ocC+ccDHVYKTJHHtfeeVn7BoqOV/KnkZOcRAM8qGPTFcvDDEn2COHF
uyVeNQVJRlvzxadY6FPFgshfh3Jv1Dq+WJ3ac1rL4QDo0X8cXOHkobCNvfhO2b9ULO36SJXr0EVm
dmh3I11VzWFqNbRXuBRDyJVyEoXpsgNyJlrMeWre16uDH1NTZm8NY/opaBx40YODj6JTM88T6FY8
CGvjQ7DLdBf5g9FYk0iaOIUrLjguvCBUBSluypxCD4C6emvHdTwbJt3b2TNiDgmny4NcG+8UqHEY
w6Dzml9g5mQXd1wgQROvJDvTd0NSzNztQ9/jzpVOVTdF1rONhx9alxey+vV1alZ1O/QWdn8KgX0E
zhV7IpgPnFve7UfHtneitelF8KA951rkMBTHOQ0HLvydoMvQQ+auijMpU7LjzcLOXj7MVy7wwL3r
E+gGbmuvc13pF9pWdg3HtDF+RJaPLcRGGdHWTx+9XpNXj6zNPoU1EkFY6R9oDcO3CAyiUpVX7Hnh
4buFJVbdYKewd1DY57uFUmynAixi1ErOYxypicfHg9O5/YE3JgdRk7oHqag5jdzpbj0mNTgCTp86
h9knsDDNV4uhfg3XuSGHdBXOA18mcjEwWZ68tIPC5LW2vBptCfVg5OUVdSUe6dr3v9UQhuPGs+0T
bVwvdtq5fyryqcBDAe8+rHi1Jr63sF0JCHJPSpWDP8xtZNZsiLqgL0EyDCR7CLhOd3kO6T4EUrIc
G1X750wX637RjO6FHEUC5WiNM6/0jmU/yefagV3dDWS6hyuQ3uIfsV+Plj8X1gO+lfX5boQKfUPY
MN0YVtWvCx/NLvCIfiFTIV+k0Pp2YgbS4exgyF8VwdPOxkQbLPSRcDg59sp0iddpHUS0UvlJYbs9
tQaSop1EfwxWT9+23QwcSxW/kH4WEauHUwvjYs9xq+m0eWn9tYN2NfH7rCuiTM/LUeQ8e+zKynyt
ByiSrPfn/QhsCm481noPEtSqeYhRH4xDH1i7cxafZdGIpe3ccmdbieAn91MDi0v0+Ea6pD7QEvzN
ZiwE/nO/9Cc6Fc6115iDzkQd8gJom9P3BxzVibfoOtKl7g6y1X0y9l4feXNVt1j0xmIJPSwn1Un5
4+CG+ExgN5RTLYBWTPNOjWV1zCcYMlHmZXXSz5DH875/caXEyTw1vIuE9ec2XF1qH/phXeIpIGtC
Okt3tdTmHp4Y1cmUNfIwe+2SaCFYFi6zDG15zzcTEQbAcOsOuM/ayVdQ40j72olFn+YWb0+NZ/5R
u9rHE9vCJB/azQtL29gb6uXKs9sKiaWTmXkFJ0GqZ29O3xQurUqnX/KZDwerqwTvCnZaLHNjkEUd
bdIjsF/wXoHj32OBm05B2bgPwWIGWB9OOV9yXi+Q2wWd/BAOXxCzevbAORQEcr3rfJvTngHda2B8
urI7Q1CcDv4K1FVnU/MGYMwcBGn5aSTt+qXPqQrdvL5NldeHVbWsSWZ0+oAPQOM9JQJ4merFF0GW
MQmGLr/xsrmM8S/6cTbM3r511+a28mv3PBSFfrbGNYnJs9aNXMeYdmdJORzgD8wuDidXftOO70fg
P+TOQnIB8eqD2C0yYYvEEzUL9qwu8mMd1M49z1RWJPkcmEM9Q++JnKFmIBpl3dxjvijq6ypznDx2
dJXnIY6BKD+6g7cCsuq60l7gI/QnSFXVXTr6xVeNE2cJ84DZCH6JCAefFR99rcsEcIyIhPK8x4Gb
ajeD9Rrxz9w/6DQvdn5JgIA0hZsgh1REnQBMh32TJBO37f1g7cVpdFi3PnSAfjj2DbDOaTYKygwk
jhGjRTSAK4n6wc5vtpjnb7Ylb0NB+xdemS+sNa4KaZA1FyyD7DCt03hYeVFEdePbM/f7CsOqa67W
gPRxky484kOuI1vhehrcCbpzJx7JavXVQKxKCPy8OO0hGuWQXgDmQcunFa13+TAVV1Ch7GX0Umef
NtZ5GJUeoZ56LApIza5ZuaRvoDz8Hb6j2b7OVx8fw6QfC9qw68IX2a0L22s/rGbcOaX2IpZX7CHj
WX/2a1ydUUnWEoboCLGTwHA7LQ43u4GP2bGfeffqlWZOhNOmt0BcpgR2Fo96HFFhM5T0ZmoKBQ4s
9ZOsczLsrP5URFbUMsyLYqbJWvldQpUB9UsKy5M8dfNdOfI0w3RlnaOWTXAFStwkXj8HBz0z7yEd
ZZ70rUuvJ4ekB7oEaq8W6z2NPZx4LLX+QTFjj0WVNrcc/pQXTjB1ACuBEHyGxjEeOqvae0APYwxi
KbsERc1DwdfgCRddhe9fL7AdQOxMAivUqfC0OPB0nHC0tPU3UStxzQZafTQKFB4bazfpXE4Oqwro
UXZLsONl6h5r03pxoFKJq2aBVIhpYNvC6/k8uOMddYcd5lT3rPhaJqLqPzlpA5g4yG/M4nyujYWj
kzX0o19XLARy1cdFg6WlZXyIWuLOp5bmY9KnNTS5OShsMg3NGLFJw/HGg8GqUI+VvXcVZY9usNIY
gk+K/4KZh306pIiE/AGl/MWeRt4hjn/BHX/e07BEfr+nOUKsJVyc/DDbqQKxTlUMyoqfZimKHfiD
Ji5r63zsJJkfhefJ50WY9kLyNbsSC+k+p4Utk8BgwA8dSrJ9Pi3t4+zLdedSp4sVVwWAVunc1qaH
Q7dhDQoDLUyMSAYYJZyUFM8Bk46DoaY2UUrGet8aHiRBra6EKJxfMtZksOzm5uKU1XDQPXuausE7
OmNLk7ST3jOZJn41ehSOeiebGEkIfGkVpTdBpdQORmJPY2CFIPNyzl8wqWd7SuBfeYC4GkNvp3F6
CDChhIuqVSwlgVy05sudmeozuNv1XBjFMYGLKg9drwdKokyes1019yuO7aynb2TsoJ85AeQ5GFMY
ChOYPs2nleiKxG0hFI7YnJlzyvlyzDtMuxB9CLtrmgHObbWWzm7GcXC95IogNOAWb226Ai4OHJ7Y
MSf3zaoWkItwQEBq+m7SLIZdBePkHChRaTyUa9NFREwF+MTGnb+aYX4e8rXb1RMtdkGvAfDOUJVM
ht2JtZAbfdik1ykMABN3uh/BY9IVQHBjoEx6a3FZVY0bOq/JKcX+elu4fTqH/myKe3zR5XGGy3Ik
8AiPq4sJ2yuW4VubjxgFtbXzY65BpUUT5gUbia6eeARHrDmTbc427yN39T5+k20Sxy2MoRxw0QD7
uyOQvkpofq7N84u/TfLgP3A2iW2+994nfRfuNM4HzP8gXcaz3HYCtW0HEK6Lmwk6dxD2mSMuIFi9
XdvI4VFvC0b/vmswTGY4jLYVxH/fRqZtMdHbiqLft5V0W1xsDzhOM0sikS8SaM3UOUmWQ/WV7yuP
eF9/QLDX7QGo+hwJUBinuacyWYK2xAeu8OBKBUMhox7/0sJ0DqUoIZvWZrwN5h5ksFiGFYcY9i2Q
pg9tH0Bsd9p7hxTFoXXwhvlO29zryQuipsCk7CzD7ICrLtYTn+vuyuRY0oI+HVk4lRP0QIExDCL6
KKM8cyFZdpRGk/D9Wyksf+rwGSyhu62Malse1fseqcpeXedqhFKAJTOAaBrZ980TDDi2ULktpK3n
q323LanTtq5Cms/OHTbYdltli22p1dt6ixe5LbpYeftt+YULYW7ZthCLbTWmTiY+w8n8PA+lemXb
Aj1tq/S6LdX1tl6L90173ZbufFu/5baIL+87ebWt53pb1M22so/b8j5va/z4vtEDp06jelvzYd46
xxKHtE5H/Cp0ex1O78oAGGPzcdrkAiRSOFzhScb//kQNkPn6jpbDgYrElQw8xiC/wR8UiHd9f6AO
UvpYEjpnv4wiONWqOI4kFQldAGESsnGfYPZu3QBueujJgkS0mOjeEO59HkSe11Hf8OxtMZM96SpY
rhzhDbcCat4zBoPmyRfteSrqIQGzvrYYnuw9DIQCQJfTKnym4MnChS/q4I5YOoFolx6PWebw0yCy
ugHmhFflS2IwWaVr/aVfAT/hzmFwLNbtIFPvZ1r5fr6t72dd8H7u5dsRKLfD8N+/YX9KEv2qFGKY
JpvMxemWIflOKZT9kEGPXsQetuHD+uw/d1+c5+7e3gx3RTjUF6f6tfXi16ztX1x6wfYR/HTnIQ8t
uRcEEkcl/+knWggsmo1FujdMpK8wcIoRyHe53Ki5WEmESbq96pduZJGXqfzVo+uYtEGqvq0gLfxw
WYp0V4OJwmfJMVEna+rjDidNy939SlPn0zC27BGZa1x1rG4spHlE41UyqqU/zF3TIa/RqxOr1/mI
SQbnE+SUkHFxD1hD7A3GT4gNutxVAfilZbDdlWjo+sJsmR4Hm1ZH01GxH5fK+agL25/BHqu7XJvs
ilSgWa4MBuKHXLL1SwBaQcWVnW1cwvp+CjJ/O780qT69f4z/B2DeH8T6698LZP4T1HoXuVJkNb97
nv+UKI02mb5AlvQH1tf743f+KtVz9kEIl8iASyl+i4P+JtUzZPO3bBTbqk38jeL9XatHThTRIylp
gNMZij2e0t+0et/9AODXk0CGhfQg/bN/otVvBTc/fB2gf0rp8q1ZhSF/ukVov/8CIpfBsT2Xyx7n
bfdRdw1/7riXXQuS5kgVyX7+PDru67aZfhW9X7/YaVgihhNiwipqG4AaTZ9w6sjn3jPNyeg2g2JW
VG8Uoux/83P2w9P4n2Qd/fpI/Rfx5r/JMP/2POI3//Y8kg/IGOP/RX4aKTeM139YR1tw2WcC3g2o
bwgBeOq+Cy77cI8ELjXiETx5fzyQyDRv3S54Vl3o65T4wT95IOXPVyh9zy0zj8Au84C4//RAtr2D
har2Akh8xbeJsxve033L5GOZthi3wSRXC59D46SPRYbJZGWfObZkkKv5tsR4TnaV5isMTrZvkXD2
kMstz2vZn0ZL4YFD60nNdW7dp474ezVmO/DLe8DdgOaiJk8T0NVXkMDgCe0AUidlV5+rsj8EcJsU
8+9YT2/AW+9tF9wFqXcTNIjzZa9zlu+WVmIp7B6wWT+sc5psgbAgbyKl4RSMr2v1sGRdUup1T2eg
RYG95q04Tpk+e21wUwcgmfwgasf6loHCapdlX23QHPKqC0kfYdmIWKTBI5jgQ29LIFQBpLwctspA
+8OaWgP2urobM36Av7XFu80GcD26on8uA7xloB/3fsqOnaMSocdfnNGPu1afg7JKvjsG/+KS9bYP
6ftL9v1D5C7Cn3iY8NT8dMkuSDEOuesESYXAWlazUHN9BsJ5AWN14T1uoTxXkVp54sC1Nvhk/v0L
+NNmuzUDuJyh0wsWpIvx7sdjreikaCQp4CIgmNO2SOJO/W52kW4zEAwTlZML7nS2n9L1tuzWJ1MX
/pl6FPIF84uQh18Xf+x3K+tZZJRf7LiX6iRt1jPCDIepUypiyNgd3U3SWxHkDWilYyiMWNNU7w2w
TpAg9KF1zZACEMKjEC79qw5jf5jz1MXmT35ZLJI2dl7vsPHt16HwInz3PiHec5UCixHldFV3eXdq
gOpc/fML+29v4x9Oyb/9t7bh4P81h/39mPRxnv0hg/zpzr7+muVfqi/Llx/s9T9+469HpCQfOHWJ
z6jnka3C4Y8jUsgPAmY7Y7iA371y/MrvRyT7AL97q9HhuJs522rIfvfX6YetxMWThG4lc1z+o1AO
2dJG33+9xHZVY2RwEf3BVAGP/cene8LVDHaOs0Mv+wB8a7cJ2sJf537bKvK3WVXVCZzm3B5hw0Pe
8BaRJcx65brLZOp/7MpSA2xnTEGcUmaGV+DYNIJ7NHd7xE38j3LgPvQB616049Dx1qcIHUYcyhBi
AegekIehaYTau4vo2rPrNPNxGeAkUJrlWSLSMXscKB50HNQVsn2T5zxKb8IsO/HpuQ1mdD8g75uA
YQKEXIt7d+2L2PiIlSyNCbE3A4xRg+mRcO1alBj4A8xB/MdmZxexjRFWiLeeKeT+Kob+BiZ5qsQ+
WCuNiHWvLx0pYF9RMccZXf3DUizFgQTw0mpnQYRZVwu7s7kvH3FMiL31lIWtXcmoXBCCQbAKMnOv
27CaZA2rg0UEtFH7BKXLTvewbVsedsB4Pem0wGDbYtFIdwvfPROSFtnJ1tbcdVhUF3DfTYBduRhL
CxrIQPmZbZUhU1l3cxYPXjq3ceb4NUzppoQllXkLACkAyY53h41DLhdkZFl95wWugyXN7dL+oMrN
38pb4a3HyR1ZeUqBam2VBqlnkmlidN35Bk0ASIB09E5A3yE7SPLgFKucBCoiE1FLCPPXTLuUDWbP
Rzd/c5s24whparmv+8l7oil0+zhzs2yHsoRvUs5XE9ikW1ILcm76Bdex7zoHZxbmmUNVCXM3vbUz
TnvW2RGs7Kzltd/bGCma4s4rlLtjLrbxpkpLQIzUtfsBBPebrw0/NMTJi31h1sKLqwYFEoq14pFC
lXWw0jZsgcIwiofKc5azTYs1CmbkS9EaWUE+XzqkZSUA/KbO9yrzm5PLax07g8wStxCnqV8gy6ze
+pjW2LiAW9ITY6UPL8vZF7XnXjKkfFUzDA9LUBZR7rHh4mQe4FRAv+AW/CkIgwq5MRzlOejpDgmq
bN84tjpTXH8ImPt9vMDUPfdd4AGpLIPiEU/rdNW4PkK7LmkWGy6yKI9LhkBn2IDgh66DPHSbTcfM
WHWRIjWfR3y2aZg1qYesEpkXWGF2hm2zOtbGfY8YtNb8aYbLc9ctzb6xuLs76a5PGrHhN0oc9GAI
jnT3lA17DmsO7/s23JdZ95nLMThWzjpdt+PyFaQ1aL92IToRczqihqMENdZzRz23jmUPtlk8FXmA
xV/aZfSGxNVIBdvKQKuEERQXpPUT5pApoeC3d24Hm3OV3Eb9TKtIQzCCQlriYuyz6lBJ54RUC8MJ
o+drjDfTc+oO1g+HrLrNpN+dBqSpTojeyUvmdylWV5OO/3eQsr+98b6/8P7nf9b24HKf/9tV9q/L
kX66I3/7U35bI9B/9P2u4OMS+iO3CkEHEgs22gDdHwLT4e93JHYFrLpSUB/DFNsirb9fke4H4A/M
dQMXByXBt+KfbBHbePfD/Inxj+MKli5eCYCVnyo8ynIks59WaWJbtOSUM8p3csBXCJrNwf678eGv
Zt2fLmPsSZRJzxP4gRDi8I8/XsYZtLempUOa0LrZGW7uF3jpg+K7Grm4VXaftUuj0X6S8PP4esn0
6gLcfK4yFIEU89VctTtWk8N/8arwTv7wDry/KlSiYkzAy8PW9uOrAn/dSKa7NGnzBdpTdwSDN0YW
FSVe1icrayPuaKQ82E4gNSUzEy/Anrb85x5OCi67u3//gqBq/PkVCeJjekLUGY26Gwf5vdKgc946
0s0Q412nHPgHAvg1De7BgqQX8F1u2FKnuiDSOMEcY+sJXbg6Gldgp6UywXHN6xenryl8ZK+68ieR
XgVBcWw5mnbmqY/92r7w+ZdqqWMzjiFr6mtmwkLZEPdTuCDxRKYM9reT+BjXCWosBhhFXbPGXU4h
HdNrt3Ni2Za7NqjjsgqupZp2U16cmHNvSXO/pjomWRAHnYmoWBLHnQB+yBDC/ilj6X7qmvPAyKEA
Gt31z4t2jjBsUHTz6tRXDGmtMLD+qcXlToKDkk9mMp8MUnTQyoc8amd+DMan1E5HsRhg1s0eiH2s
B0BWY3a3BqeClzeVQB7HXSOARonm6Ql2YqwCMIppdUZo5UGb+oR4+G6GocpUpiOkdXddKZadY3UI
wStGliVycvQLBf21gYs1+N9mbmMR4GdWNmkbs/M7hKzpJ6jbp1JTtACoo4fOG5DS8HkwoYwg4Wlz
gJMeZdWAtwc/RgZx26FXoqd3+DzD0vEPEzJf4WpNzCkQrbKPve415xdgOGdY+2FRYHIC3oHmoFOL
YgxlROKWOnKKB2Wbg9PfLC3fMZl/MajiCYJXkDUvCCHVvQkzBKVUJi9DCiNxuS2QChaeibTg6C+b
oywF5eOiq+KhGNOXjGvneunwyfFJXZy2tPcEdNMIX2YKyZjK21QHzS/btVOEbYs3TZu2zMO5rr4O
S53fkTVrvki/4Fuae/vSoCwFsH5+5DZ44N5EPjJFDLTZbPpsTd3AbpDZ3lqOiYRVbvakW1VHgDVS
IHw1omREgZUMU4osuVDLhH6mgcdjvzo+mtAQKcerYPMX2i/VoaYao8fcmQw9Plhj/cm/UNTK3PWr
4fcj0d3u/Xv63ybl/kdfkujl++5U+9Pu+NgjffevYuut2AEyGjCB7bf9sTn6uMY81EZtsu27pvvr
rSi9Dx42NoI+QPw6dF+cf7/fisEHHNLYDAFgB9gdCX7p92sRYh2R2PaoD6FYuP+sFTBgPwkz2Bx9
VPXiD4RFhXvhT+parRxnCbwJDUyonpvUSBA3EAdtNKQzOT+DEc9CM+dVRAe17NcGde+EfCqFeNa8
AkTdAe+knX0bl4KHatQAJWeGeJDjOeE8ootJte5wxQ06nRqBs3g1EEPWrrxjraNiS0x+qAdHhFnW
3iACTcIB6TCY1vS5kW23Y9Ny3wTuV91Wt94CP77K6BDVskTVlHLe4GDc+BX6AcGSdy95g04WCrTr
gC4hFuI9TPFTM/NSDNXBWZtzX8HKCkcLgA4tP7eZk0rMrdRJ3A6TteeX9bnFmn81lsF6atFIc0ZY
HkpZywOAbG61PKUye3QL9cXm/bNCGqMKDdLd1w601aREEidGYrGPwD3gliLBdK+Xcq96FZxb5iH0
oei0W9MFDXOdRH6jQ8ASFVnTguKEknrTN2+SN8OC3DcyWPwO7ZA4z9o8ybtB7ZeBaqyrHSrkSoCh
zjykrz7y4wcW9PyUD6SNe9aRqLGSH6E5tSe3ytjryJaXfkbeB2VFXdRaM0REAp5ua799ncBaXKfM
uEdpt0Q8MM54rWhwvap+2lHdfEWPogXd1fFLD5t9ZzOQ9FPpATB3EQNXHGyGylFSZ2XXnzo9k3sx
rG9tmxYIYM/dxVaTevab5TkQbY6EKMI5A+IhqPwDht6pCTdMkMcrsszAKKpvRS0UyFQAmGOlYiTL
EcUfqyXfWXCridHuqeGobcC/VUGg7fOrglePBWOPfBzKk4DPCaJuLh6Rgx/AmxCVbJTXddll1T3I
CRF52qhoVRLRoyIforENPnIfFwpHEP8a5OInPK/y6+zWY+I6tb5ZwezFesx1YtrhMYXKnC8zGuxm
jUrL4alcAxUDr5P7ARVC4ewEn6t6dhHJHe492s4J2j1Q2wS5AjBgMz65GZoOKRP3ZpHvHUS1jzUe
YzNUT1BwIWhnXyJd5sr9PA9Zel36pOv3KAILjnVawNrNlr69DdjcJlAnEWLqVXWRA0GKLMjsURce
xkc8g5dsHMwJ5mZxgG2JISPPcZzJYb+O7fXklikCVVXvX2FILe+HMhB70pIF2M7whKA5+uakhm4B
b+CAIk20ZwXsI+B2tGQghPpUgWiN8FGZxNLFjKEqEX2Sk5N+7pvWJKki3bkYh+y0Lhbp1xQEj49E
Qk9iVAh8RfNGjVKCOked2ipvmA7mOyBNMm7nQCVAj/xoHNgJFqh/AWaCkqeUosBT2uLOeoBullZM
F7dc0WfisPWXcUEqbcQ1imaR5iDcEhJsu3p3qUKR5uQAxFnyudmNrmzRKJCi8YlleazGLfYITQE6
UE7rKsGyXqPrw2WxtOgmXAbJPk7ZxA9gS9NPlcvTCEFBFIwat9wXCFYdS94tVx2nxUdZtN05azoG
BYGu5L5aPedG6n7da1mVnzDOf3JR27eDbIGCpaw+tMN8246GfAVfZu4Ly2zsFAPgD9+gCq2YmxUh
PQdlYEP7WtDJfjXQuy689dGosDB7GEdRRUHaAplCvQC0nOyTgFFx4yAUjBAliTGbjBlyl3JjqzQq
G4Asd1ezSQm+uQUie3oGJ9SanF8FlS5v7Zq259Qby0uOFSpq3Ok8scLsdTB2n9BSgMmo0f0Nyhqm
KF8Q7ZwKRF01Mg2RKVEVayReRmWX9R5my91MobYQUXsxZA7M5OV0h3vIOU5N2u1gG2WvfaPXg1c5
j9ncuQlIe6RGSD1eGiVoDAytwPyOdtCaFGfQOeoe41pzR0sQE7oIprAHJxRRzgkQJJHGkHIW0KCQ
Wo8OdaZ4dDqKDgmh926v+vPsjE3o6I6Hqa5cNCX4OIUL+tXz8joGnY/svJR3QMl+KYhYorSEEBFI
RCpmF5qGMqWN/GlY0YeCNB5yAkHc1OmTGzS4FbfXQACVIchsZdSMknwSSBpFFUgWWEurvFYwF0oI
hjQYQoVO2VcH7Ca20Nr2jwQluHQor7VFFV7hHYTN0XtCxMXA7A2BqyJ1WoocE6rNp50RygmpAw4a
aDQCh6xE1l2wpCPUJmgWeUJXzp5ChIrRstLXEXPk5xURll0n27dmxgPFhurRdGA3yhktf3Xl3qxm
vdYAHiPcdmj8HXtynAACR/32SWMaTaEcYjMVGkfPKOu3mqyvE29eDCfoXnJWpJ0qgtwGH5oypGgC
PM1pdlugreZauMhzZj65Q02qHy2pEVFTGxKLCUWR/QqcMiiB8w5G9Y8Zuhridcg6sJijRrVg88V1
cAoxreIU4Q820tcFW7EN6Jueahph66ujwqdv/3/c/fu/FOdf3dnb3ApMCYPm31sl/6uf6i/4K32q
/3Hbf3n7OuQ/y0G//gG/Db78QwDzV2LuJTA6KPSb3+QgDL40kPhGwUz5MZFItr/XRcJKoWCfwEcQ
jNG/z73sA1RAQSX+OI6zgpN/Igch/vij+CBc+DKcsgA5bkD5/N2w/I4z6lCLvIDNN8e+KLISePeg
Lnyg0xj76TTCpZunqjzgb0ZC3R/HnIH9VNRTF6PXghwdEZQJHOt+EyEou/ZcNaPnbC7wv4M/FJ//
N3XnsSS3km3ZL0IZ4A6HmIaOFJGSZCYnMCbJhBYO4RBf3wt5y7p5+cp4+73ZG5VZ8WYEAnC4H7H3
OkvahMApAnI3eEIt52DthYeKAxCaxmjL+FIrVaYny52bV1JCtqHaSat2s1RO7JHKll2wF/yCzySR
8Hp7f7QhRpm9PY+IoNPAfWuWOYcdqF2wg1Zd9QV7ZRws22UMR1LuIUtPU91ijhTTCqvWU9Ye23Kh
32CZygT3hBUm2rhNs9rIFQKPCrjcQz9O4BVyzYG96mE5X7SlO/zUQWm/J6ldL3sdY7jZua7lPlZJ
5BZYOMv4RbuFGI5Qi+fvbPT9fZMVyFCnsmITQck5oC91zbck66azolWFV77x0lfX8roTBOMA4Xxt
2w/TCPd6LIV3dhwIirJyCYnQSAoybWeEWoT9+sUZ4wCU3CIiDBd2zfkdQNHFutbm3sadKVHsm7VZ
JUpnvKWbal3LsvCPenHT5SJTquxPoq2lQ8uIKsDBDRsZfjF9pc8A2jrkBKGNEWypYqGP84REstgU
cd+mZ911yr4L1vuS7/Uiu/CQFX4SPHfJbAOQaenlRl7TvIhOEnfOZr1ZyRnaO/FT1Yx7Psa9pmSo
4c4EYJedaaroPfmJce6AHMT4nXwEsoDa9Y7KgN64qCsf+9R+z2Y97ytEmtuxE9G5tgbDhh0JiMKO
AGmNBMfM0XJB+84JJTH6zIvbH9KcnGkTAwFLN7E3ujsZDv6TCafzCF94LflF4ZUFfmLvZtFTlwUx
2ZT5QiU/2+ZeddOyPraQC344Je1Bg/dziqsjMtDyqLpQbKcqS/fYWKrbWMjqymPZPJaysc5AnnJ6
dC63TmvEfG7p0IxprgZP3ySx5dIsd3O0y8Et4MLuNnBrB89fqW+KZPR5qm7yw4UyfAzcqvwChKa6
GJmr02A4SeMQ0aoVJsNGmQ6iBaCXvSyG+tFv3frSVnBR3Vwte5oPhAsTTahPcTE95X2DPw6s3Hke
sNlpfPBXjQeyKg3raOdP0tq4dfZWO5l80rUDHLyK4WLEIjp4+PRRoI/0cahObkwEHNjph1tdeISd
UWKj4sAO/4wn6x6cKKQle6GipuiXtFnS30VJ0W3VMvct+k65U5z+tRJHg4MSTt6jC10YFa71VFXN
z2FI7/PR6TcqcvJ90ffQXbPOv+NUjF/igOAm4V82esqrF9cJGzYj+Yy3fyspMG5UGf2AHXN0hiq8
t5bF/tlmKSsdDSOmA+p1o0eFLcRegNXr3a/66wGA1FaPFk++kVTbynyxNhGq4aXAoxdHqj1GssB5
h7nvsMx1d5Mllr+pOkhvJSib7ehDPC5Awb1YXPchy4AhJ4WrjzCoxltiN2ETe45PIKGevD7Krgo6
1dvQLswBnK+/x0xJCimn6qHt0g57YhEDly2Xy9IDJaCJNkGRh7a2wWFiBjprNOjBy1c4fwsNs8OO
xPwZ8ATIERmNl5BW8d7DaQCHRanvvW7foWXJnQ1M6WqCUHJInDHc91TctnS6y3taqh7c7E7AX5L5
G2ip6mCrjEpkPKrq3l2hPGD1ghMrgZ0Q8VuHflcHX0YMpT+a3Izp5pdT9T90EDxFK+bXYn0Aa9ym
LMMYCRuTRoiC6m+l8bpudQLXLjkHojP9LnJGuNQM1pvvuqqUn8a6d9nj8OXsRqkXbE6tqZ4rbc37
NimcHwPVhexmRmvqkH8qECvwRmyCZp7+tg7A9GxGewRfjfKE8g2GRxRJVeAkZ0qQwXg3uUXbbqDk
jp87T+aPs2+DfIBb4Rl1DWI/uF2WIb9PAvwHrm6iDhkWRpxtL3o4vhK/Nh4470vegaI3VT7Lje9b
akWM8embyPfG2zDKuzMl0fk4sL9j9bWmQ5Gs7BtJ+QZeXEiiA3A7EANJUYGZEZ1C/znMrGaHDGs1
OIYp12iKFrKzIqmxFIyXiXML7jSscXdptt4YLvMp8NrVCobNwIAeQGeGkzqwzQmmmypvfDcN9mGL
x9AejPUzwJFx1XWCxij53ILCwLYec3rPeyrE6q4EA3ffySR+0uNM2tLmhzRtFAjqZYAwkDkQq0Nq
5AF2rzsYSxDOLQyIRPN62yNcOCR91SG8wrfX2Amm+jh4SlRQbTv1tcrmaxP23+reOQ4JfSrR2e6l
yd6MaR9p/wc3NVSorbKWdhcwBuExsXN0/TU3jnhjC7kA3Fo9utaJfC395mhFggZgZDP4uHutihxi
SC9JVDKSwJbevcHn47sAHTlWYO31XvG59Zsa67KS+rz4q/1objqzb2J67mSz1Us2T93Oxm85jfRI
2tYNN2oJK0oEaX2nfe08AU3/7gOkeqzJAN7lOAB57VUXHyxQPowQQRG9nPEmu/FVZWLyiQJ3xEvh
UrLYYO4L3WPoGnVploZEwZ+Umr6Ey+QMu7C0m2+z8PLXnvL88oSyGhAaLQFSF2qU+tWRcXIJmh7a
S1J5b6ijqUc2ZiAzUxL+dpJ36bbEVLatnF4dQwtanZ8A3xZl5j1JafXfZSFQa4mwfBLVNJDTQKI4
qoI6QaEHdcswh/Z2qIcQYxJjVb6qMogf0e67t0XGfqP1yDk/jBAX0CLsPc8KnnXOQA4XEgWzANiU
OE5gpp1GWxdXQG4t9P6WQ6erK6z8EV7ciDsmaGS6J21NGQZRlD2jSQg4uj2bHeXQHAnPLmbHAm+E
WF9vu2iOL2Ufh9xOkXHs+8uyd6gSPiIfKb9wtLg/h9qDg5N11HYpBLhb2WjYpHkmwCIEA8WIOVzY
/YIUQNI4ONVnT2X5bQ6i9lK7WHLjLAxfhk46z2npWgfdRvHjYkGmRu7RVk9cRv4MyImnq1OOJtw3
9pUHg/I60S5DElTQ+TdJDsVr24ZaQYmqMfa04nVuyBYT3xmzjT3n2WvRp/7LHI3vphkse+s4xpwc
uzoISsvsWCpTxzyfp6+tnNtkE02DRuZTBYwqtRPzBETTfYkmn06mACPWUGgRAaNtfLOcTFDKr0uu
7R2HkvWK3D97pGMTfms6PT077lTdZEhac3o8AsAZUbg6uZltir1rF3CqnJrWXyoX7/vguRlWnAEw
lARhNe3VkFMcceo0HpGg9PNX5JXWZbQbHMhVBO4Df0+UX1vwK25dvKk7exHmh01tKOWd64IvTmUz
0CELhSWv61zEZBrCjnGxjXOEGmRKy22D75N6DofFKx7C8knhaDyPUYScNNbxNugG19p1blSBCwiJ
xDYjaPQrNr1u2NmzmQoMqrqECDGN4iv1SAwhkzsmb3NWYw4to8LcNhktOC0ijIhF7ncLZjsCBafJ
Vzo/28tBjr3/A6a3gwfOG66STLT50ZdiwbKZCIqRSEJOKp6sT1Wnkvveq4K3enL6J+OQQk3rkiR5
yqeCRYC8ZVvWGRWFAD2ju21RhN4slMLOKbgU8p+pXNF6fUwTAil8fN+rcHnu7dS6m4GDiI1vJzTM
pgV2Ws9InWzTgXEFC9XZ6gI70SNdKKS51Us1vC6JlG+x1c3dgSWvf859TP9Se6AYwUnHLxVIjPCQ
47o/D+Qb7yI1ZpeUMRRgrDSUsHTqT5CVTW42jKTRn50yW7BeVVO5LyybIQccopRf8gD4OtDWKWc4
0tJfd20W3mVBFD5yf6rL2DtEnV7XvpZ6pMYTyaratQQvDRRC3byW0KSw3gQ97YPIStXeicfp3LrW
CMmXHWCXKYAeIMdq1mPW4H903Sa9w2Aen7Ql8aGPNENObZXSHwGtgIZPZrRztgm1ypohEX34uUDs
BHim9j85TJJ5I4+R9QYniOtC1JsRp5VR2l7aeZqdLY2J6X5uxxca+0/G6jWWOa3TPdzY+m4obBum
TD4lJ7MI9c1bLJ9/mov+ggZ7OmuF5bmZRPcyaNm9T7EdoL4a6+AJM2L5tICP/jyDPk4I6iiklm2Z
mJWymVzHFQM/DgTCzFtAsKsOQ2NV5yTOrC1ly+RTazxxNVdoca/ytKASS9XZkGq3wXipwqS98wP4
skxtWh49Wr8b5bvd2fdM8Oo79vTUEm5NO2eyMPSjF4kPziSLc0W82R6obZYrJJSoXzBEx7/TTjHz
AlE52S6BmY+2HuU3M1ftedA2VFYHihy9lhmTHCCGkHyyIQJLOjxMm1Bb0z1ok3KTFmr87lPe+hE3
BRj+IUN/Bx3MrBEr+8Q30lnIc6Tw/pYWnd4Bl6YQP6kRHE+czZ9jNF3OhlsM8ixEj0AuDfGr29HI
IPzVvNioCs0i4Q8FGnDO0D8jPs7wLUcTBAM4rlV8jK0RdIPj6tvAcqdjsZaqh2CYXppaRjmaTqyN
hEHrvtmkNhwB9nN5rfuph2GRt0QBhkw4PU7anYkv/HrZFCFREfQ1Ue9l2qBGswvmbDWQob8v7SKv
uwBs3z7Q00JvoAQbgPU3aK+7rNDA3JE6z1ereiw+B37YJkB26vlrg41taw9Z+WnSof6p8jE427AF
vii4x5/DygzzxgiEgqNtOefacfsjVLnhTFs+YApMNbznzjiTEUsX2yLKi2La6g5P6+xE3aGfoMly
JGl8mDN5nE0yVgowLnNMMYXGka++u0BCB5oNjXpeQqa+VIIkMg69Kz817mEuCrmvunB5MtNsXwqq
Mzth5TWCiw4+WspUi8fOC6Pv9dKIDTAB/VTY08yZ3XWIR2oK07jwZPq4UJQ6dPRVv7ihZS44I6dn
LGPVmdSxw4ts1fZd6o/BjqkR0W1X2OrK8MI/zz2hf2sV8yn2p3Q7AxR/rwO/ulOiVc8seyLhzL1y
0k6eJ5C1L3Fv3GuAU8D5F2c6JUoOWAxW3WAvq6PINaQa9URM3j6M/qSvszh2b5JB1hjwU+/V5sm9
RTJbefm2OpjUbXfR4uQ3AMPT+86faSauDN+uLOPNKKgzdJGI3wM3+RRNVnFyVbMv2wJnhR+OtCaZ
1DFL1d70Tf8amoXhSHk3HsMkBG5ew/6l30x4ugRfQjas2yppxrPq0u+OT/uFakWODDdr0F8q4gEx
XIkkSk8eCpTrKIB521fJSh6Ziq+ZHKvbBZMGlH1SBE6H7lTnEL76LPN3Vh9kB35Pd/BTF51seEQp
Gv6D58D5TeBEFofaCgGbhw3Ucahx/z2Ls9h+0f/X/lmYVBB2rlFaIOv40oyVOwJ4nnhzfWhqG0Am
DTPCwBGOpYymf7oQ+Zv8jSvx0ViptbbK/+DB+PuVtEOkp9LxkWS33jEzXf+WhHJcHoDVhN1dQKPG
u89t2Br7YilHepM1+Z8XZD1kM8P7nbjm8zgJRZ1sFm18KDO43huZqFJ/Q1zsI4LqLPVF96K4D8OI
O+/J4iXQ1kJZYi3IlaNx3vxqqlBPkzV+ofyxWtx7+STMaH1vk4jAewjiT3ifB3+T6Dh96VMaqmxx
CK/slKJAYOwvQYtYDaTj9KBrhjjtqMSuQl47v3YZQb6Tcy0JJGR8N9Ztve2Dtn/0/XK+tqZJ3g5I
7LYUbIuDnIoXIWv7oRfxlT864GvWoqW/li+bj0om1Hl2SMvKRbKn5Koem4+yZ/xRAvWZaPfefBRG
hav9H+j/g/tJ5e3jEi/OF0/amtkEOVH+plgD9qlXg9jFMb3GdIUfM1WLdVp8RPfOR6QffkT9WLjJ
AMALzN9V1bJ32ia4yz7yBKev5SmaONH6DvzCUX6kE1STvG/pgjte5WFwBp/wKVbzcIa0FO+siBuf
L7PaWBmk3I215izmI30J1kymXHMab81ugjXPiRKmQuyDhfM5q3GtZM5IRrTmRhCJzDZJxnTXNqU6
0o+mRrlWRLfsJtYbw9FIsqY138rWzCtcczCxZmMz9LhXbSekaNRySNdAoYrlyUNK8qpE0XxT/oJo
DnKOnL4UnuYmqbpQl34hvzyOrkctnEJ689JGjVf9sBIPeFSihvgdAXat7/9cdhG/u5QCyi0+XQmh
BP0JjJh0Q35VJA6VlxmZcJykxFq3jQWNrR5TvetamZ9ppAZnplGV4zaij7mf2vouKJimRXMZoDS4
rOnK62NNNW0Bk0IFoGo2FbrwR7Keutq51ElfWqRkyNVSqZ/ckakpDbJHaoCQPzx/uiuLCL3ECJ64
HB1z42DK6mkoTNH3Cm/WwUsb7wyYM38QoZoo6SP0R1v5BNz9rhLRfcjMk5s4irF/y+jg2PET77i8
2OVyS2IW0g50bcOOB4uDSVXLwJGtAw9CqlZm03sEqJwd9sk0fgGrNbPvZe0YF12Bip8dRiIdY5Mx
aBJoKDR4WeMvI23rLmwu+j6AX3foiGT6naK2DMcV1ZHZq6nIrxZt49UYnJZZmaXXVD/8oVu5unTx
hwIriWD80+clHqNdzcQLnFNLsQv1ZCDcFT70V7oKr5NasVRjWbcHcAzJMS1xrXHquj49i6w/ZP4c
n6pA8crBEgI0r1osMDMq+B9lFK7jXgYbSWYNyGg3deGc7QAo0vD3BxOePFQGD5EJk7fScaNjD9Z3
H0XAjiYqI1QKYGdhLjBXRRaMW2GnzoXS4sKqJOgsYE9c5yEE8rAqYOlTwdkyjbJ6zNMMiHitGv3J
niPegFgGG4MGBQIifXeUTQNH2qLMYfZ1/2qEkz5bqHg+66ysTpENR2NbG83WNI3Zw8JUvF1bugg2
2KW2ro8apqbXsB8hd9/7iZN9quwuZxdNsLltAu7MVYqTCV1D70U3c77YR8+nt0+mmcmbpqyfQiQ/
zMOgQIFiipNoSTr3wbPamFknU8FsxZapG5tMVn1wD8oNsFWzNpGcj36S0zP7cBt99JnsteXUUtVd
trB16ERFXUFXKkznLN+jfXhzPrpWIf0r8dHJ6qSSh0GM/ufio9NVCSxF8IdHss+U3btCvpA3rzHV
vfQkEbXFl6VpHExynGM/3GGcWrJvgeizX7ttWW3GgZEfKEc2ZAYSJtIIS7uFo7IfwSidtdA9cbWG
x7IZ4AKunewsz05Z4OGtmSlgqF2bOjUqYkk8oT9qutNa3s2V86KDRgWoKZ7zMH1J2/UFEbA6wCdf
6WhZzhOEnEPj1MN61d1B0Wi9nhJaRJ1Vq1OTz923P29Uv0m52aacVcYtXBf1niPdtbf5S+8SqPSQ
UxL1z2GsLqheYYHdNOYvffZ/S/f5/+d8+N8ztQtVvvNnBz/Dn//v6OdL+r1+Yy70uSuw9Xe/Nrvx
4v/1Sf/udct/oV/HfedIW5JHrj7pf4s8xb/EKrH03VB4Pq8mXfB/izwd+S/+H6JjmtAupRvn/3kf
wAAoOps4CqlcY/pHtfnfwO86vxkSApgAhE04KLgyWwUfGtBf1kvX6c6r06k9JkSX6AzLt6oBQCF9
IJ1J1DaHeinee06X7RLSAHGY0QkN3dlqY2/mtF4TRbhl0YQrNxpTTG/o0f+8ov9LqMwloo9Fgk1j
H2HA6ib/dUlLE2H8zuP2GDCwCVUJo5HjREPXSMIbyg7fXDldPKpZ0EER0XgUuv9HF8CZJLhVBAHr
PfzlHqHAboKRtscxileu0TKZbcNQSNpeEerLRmwHpuaweTBHNGE6AgLI7h8u4fe3er0FcB8oyCrs
nOQ5f7+CzmWiQwGg99gyPGsTOv7zkKhLit38zz/1d+DJuhz4Io+vobXEBLvffqq3RB3y2Fofq9rU
pz7uwwPY5Jdal+EhxJK2nanQMgiGMMSMaJowbVY31iQeFLUZKDoBjglLRt9gw2Eum4T9KHPE9ut7
cSQuoTpS1TNaA7R8FsbODURBf684q+jZmH7vQxOlYy3uNbOJWX/cyFl7rx0Dnuy2C3ZuqqOruEIS
bIlmPnawt27n6NMyIp9KyuW5BhJwcCdGA09d/u7IhY3WFG+VVQa7oo0uSxD+NEn5KBf/y5/v3Br+
/WIi4sbxSqyaayaog8YI1if4yxrxlwpBLbW6I7riAHTs/JpFEU4J6KrI6lK8/TFiXm3CvyT4KOP/
Mz/7g7nx9y8mafPQO1JP/dhG/v7FjMn0G0blZcegS4p90BfZ2Q+W/iSQbO5iCcg99RfG1rRCXZfI
Qw9VBwzeB9F3ICYU+yKJD0PQUR32eacQy4A1i5h+XtPEOhYZxroAnTo4eYuZHX++Z2I9jH67dg/s
OA4vG9uRvw64//WmMavJNbOfIBNxRLXTtAGv4yRvttKEjyDqa8j3fcHo5L68NFNwNtI5j3l8NTDg
C7Wed/5rA3KnQ61uvBUuTbWb0XkWP9qf+TVeARZ8ksv3P1/3f33Wriek8BhLQzDthvLvl92L1LJb
LLPH0WoRA1JKAxwZMptovdGt14RbPUDVskgW/+n9/A83TLgC7iZuc1utVoJfb9ggAC8P8DGPkema
rRnCgEiq73Z//n1rB/n3xyIFpnUINLiXvd8qAoSqpbR0URyT2a+OfqvzK0aGvP35SwL39xIIvnQP
v53ASYQ0IhC/PX0kowhSMvqutSjeIz+Cmul1IZKUSgKIdnnJQ4tSZmSYE1I5S35VquLdiV1KEwRv
ap2bEE1zuHVcEzJWAaU+rEH7VHQs8jwDxtbCg2R6a/BsedZ8wAR4wSTbngkAA7x9a0/WKcKDRfdi
T7lY7EEnHe2J/U05k9iChbD2dcp/1iVqZYNzaRnFbV4P/t7VGKTnhVFgAq80kgvmnFAeW/mUKWou
ErxNEjbuQYju89QH3UZAQl4hW29MyX5TmXwomyW6ipos3Lgye2/FUJ+6dWCyTc/UmkJ7OwBdOTBe
8L2No4AiMHuulsDFczQ6m8BhfVe0sUBKF2+eYQ26efxJL81C3B4+JyyOLVRtrls+VGloncbEiL0U
/QtDacLtuO7eMynal2ZSHVNk2mCH4giQscuXMaTB/easc/da4a9UqPSti6dgJzUegtjDIYAz4mvV
roqboRSPpkYVm6ULB/GCac4vsncn4UebuA92Zcn1xn3/2Ir8p5dzeo6yAPAxmq0J2LjHoen2OQcI
4CkwrmVrvfh201Giblc8vgx2KpDQ2N0uOfCKVcdcpW/S5XEwFiOFMcsJXFAm2KAkulFF85Q54bOm
6MhriCsO0DQ0bbraHCzG3RaMdEOh0tICWHAaNMMdAcYx8qu31masfDc0LkqrotuHTOdipiObZasz
qM4FczR08V6FOEo8bah/A3gt8/fCr9Dj00LaxS4/tBtL6o/gECQrMEBNtxO2f8mjWmyddVheLjEF
CJoEu6hhndfrkTnXxFfMa262s8nfrdhixfJkGQb+rpyaf7K1+mwAKPPEQTILt2Q8RxS/18w92FQJ
u7WdUg62kvpm8qkQJ2QjW6p1b7Iui7sBeBQQJit4wglwWLLkjSJUfUKX1l57kf+MU4XfSHh642UD
sdX6YIgMLp3H2J7cYU/7WLvzyLKxG8brdVHRM1gkfQsiYkYVywcJDuEIZeyNqhRDA1jhTs+r8bFw
24XrZl4RAgy32juld5xF8NyEBDKJtvO/XoGSFcZMtQc0xt1OGYJPCtrLbTXxsAbq1ZAh+Ly6bCTE
QlYQrcBqQ2s3pDxaQ/jHKnRD2d/aowRMt/h08h2DgN4+LpzLJYoZKqYZ0ug44gNur4Uaui9DOIaH
Ae3/VjcTr5qfNLd1CL8xNTw7fw7z/aL9s+MhbFClYJA9qSHqaEPlB9FJlkcZdcqIcjkbmLUalZCV
8jf8DpYu2uT1AWPofRCFfmGqIzOfpuxde1x1pLO3j+1i8PP3nmFEVDDZCaos5gs6EuS+4ARpPMhx
rdMzf2DkJpIMEA8txFNEyf7GKDThSmQ3BWyNXa7ZldioyKoX5h6K+ubjdMJEW8Md5Q4oyhdXwsve
ZzuK7kVWH5gSnm9Tb6Fp0DFfV01ix376oyrYTKRg5dJ97jZdl37qOt5j1+JzDXttzlyeHbrBY+sX
bz3x1bqdzRU3ArTw5WNTGhTbC0OeX7KJa0sH7yJqRlDqQj2Q71THFP/YWkR+m5kLtA0o3IOx4OF+
ZBPJeo56DFWCfstirf3Lxy8c5/x9fSV0qh7Wo8D3xAOtAvat9Rk0IrykJcUlu0LOlI83QZzBn6/W
ZYMOYBMJ0OG1077YmevcqDZ7zxtmZLULS6W1WYwfO13gspkoZJv1jBGVWZFAnZxwvOsCVDmTxfvL
rE+xH62FvwqQ0xQ5qN1+fTr0DZm9gJGMcdn2TmW8h4y7na4+duJ0WgMxLwZAgpKCN5gwa16CZ79o
GLPFX3hcSUCVbOJfg44HMKRDc0iZMX6w8jK91IxQ2AWq4fhhQCMSOe7Yx7ki8bYCNCF4zj314LTR
HjDsDLsJyX0+cyPXFQYskAC5IUxnpzmYhfs11iy6FnPKtmhYVqVh96GKXh1lSECxPt0ua19SJGVw
o9j1yYJoyMR8oDZkBR/7b7HujpEGxlnlDhXxsK5PDMoFhM8O0IZ8QZywqtXAC+Qv+Y3ncdVCs91k
jcMMvDUcHlKoFMMIVtSKivkTBeH65Je83TIhuILH/faxVqq+fMPs8A4J8Tmys5kDgxm/xnCr19Mm
CtkX855XgHF7+S1KDwxilmdvXLAmjEpp4XULNAVDU+kDqo+YZ9umlzHlrlL0JT6n5ZZpzQjrpubA
m3t9WUv11ym9g7M7VtAnFICtiRLwDnAiooBhDPZ1HTKaXffupu5GoB1RouxT2ywx5mV85oTTbnpA
5EAJNUi7Y+hDdE6n9L3W9QvA7/4wkVl9txjp+iSLrLm2qxwITdM/ZZUG5m0F6U5EjvNiuw5eNyjT
RMQy3SUD47+kXOwTSoSDWkiTTB2voUFj6nOrqPo5A4NMx2UWW3dEoQX1pMYrzrGQJ8TJemkv0kkA
WTOV7oqhDG+DVUy7zBdMXc3RjohxQRIx2sv10vI6IcZ5C9Y0r8aGuUvAs+w43qlnqTE5hbhnLilT
Dnar5BexdtHvlYu1qBvaGqRV7BKjUM9OSuAB1cwdM6L9mS0EbL1RjMHUFX69qOn3MBbPfahfihAT
Zjg0y8ZI9IDgeA0jAmV3bJyWzm3mRnw9dNyq58MwqPLZqDk2qeMMh3ZQV0VtvsZFPP7M0Z+c4DlH
u3HC1EYC9b3xx30Wz98H6EQbBFZsWqg2UT6Cf7c0dnVWA4BhzCobz7EZcu3WiFRhT3sQGOTJYijc
VnajvTe0dwme760RAnrLBtDZwwEDXroPYp5pnNxaY3ud1uy/LlOuHXu8osgdbIK0bNjKrZ8Nc8h2
PrM192LCL5UP1jfVs+tm2pHnfnEfYjQpIN3sm9aS+a6K2TLtbGC0YOpYJw0+dxXR89aumc8CPBjT
IdtSOqTvzlSHTMUgfnIidhrsdPMn2TN8gie8wKHnBHIrL3ofsxXM7gTF50oP7rW72C9GsFVYTvdS
AXNn+Lduv8cLXVxO4mG/eH5/zGuC4GTSC8AbIiabHC7HxC/YuNZ93LXyG2lzzsVsDjao7b1laKIO
Dcawj4yeacJsB5LXlDnXHYeM84BRC21RBUu+LVm39bpESZiPjLB4C80QHPPKPCQBKyZCa7ixKsOm
yVGwXqcJ7AeH6sOx8xzSQk7rTUiYzTjFN2TFLzbNpa1R9kO3TEzZtH1WaNJNV/i76k1q+8Ou8eP7
qhhvmtn5SgKpD7ZRSBFs0X5ijtprxpkW93gExBxejZgDNmJEApeNXE1AVLWBMEV0vW6nS087hVYl
rs+gZ5KCCp5lmr81c3lDgDHdL/7EvAwtbwEXVtzk8AZuoUfeCFyiF2iFCxpsoRj3Bmz6gYbpWvNu
vYs7Zsm9jWv3NbW59xVh8t7J/XPhssIaMEcnJKVM8p64p2Uxcp9dP/hcy6q9ZsTV+Ew/xMaCwHID
ZmC2aTxjts2T7Rywr0UdcU6uk+liIc9d5Q3rJl2SrRjTEHt3/cKPJcYUqLCOVZptNP3TUxE7x8ge
urMTZu+Vlbwjk35pW86hrqLyLLnOjxO9Z0QKZ0QGkoG1GrNMLpGryPKICUiuxT6Ts7W3uGAcX5yZ
1VyDfVqzlmWiQOR7cOaHuH3BE0i+MA7jXdzwSgn4+kSVIOD7YY6uZiqTKFeL6S73ehyBg0HPaTt7
K7YNIMeE6I6Mfv9xyrV9XcFpl4RR7hzs6N3SGWv4mkKwhqdELl9L6Sc/2nSiL+bzAUEIeDBkbOF2
sFhN4RxF32jF8Slt+U4zxn4rIwP6kVPvY/WTb+4Zd5Nekay+U4TgVxXeYzClRy8UDwwDJtWLOLmy
xvq5FqqUu+jTEIfmVjEcB7b8egbGrM+hFmbbEUOxKcTNQ4tjk8MsRJztWNgGbdqoKdsYxcgcxIfw
trnqr6wB+aBpmutZoPd0NV8PDpJ41SXASi1xV7S0zwbXH4HEj84uTDiGWe0ccQOPyFTuw8fZG068
p4kbPf858f/ANP9eXqDGCPUaXSta9t86qSaDe4N2KT9aFUlnLinYqr5/0Q1FwYyG5GGxnJxfwVNm
KO5ySEQ5sNUwKUh/CXTzbAfAD8eERHcNMwbftmiQ+s+5ie9tMaEqKH2L0dwtbojRrra42u+90urw
nPYEwH386aOQ+ZEjofj+kfZl8u5NPaCW3ntwmC+3Gxk7eiO8maZtM5VYRB0COrMGpT45UC/ZQ1of
v43VK2Ivy8afsiZhgyMBMwc/oHK11xWteCSYaxSY0AL2yHl3Kg6iM1NL/lHE8Z9KKTCBbQGRlaqA
/D/UnUlz28qWrf9KxZvjBNoEMHgTAiRIkWoty7InCLkR+h6J7tfXB51zKyzKJcWNF1FRb3Zv2D4k
QCBz595rfeusI5XmCaJE3pQg7DhyOMSQXnSSjoTQKbqKzHpI1lYq18f+L3ndsEm5H7So/9AUc1yG
GQhaDCYg5708w3EaK9EzGaQ2Ds6OUM5911InEb23KjVSwAdiUD2mdsYH7ao3fj0aSRzfV4KGwYJB
L+l1V4w3W5NJ5mIxYzC8sVjUfVJitdU6Xfho/etvq6d9y9i0YuZK0uVQDJ/cWg9mY9Ie33+61w7c
m4ebIRyJsTYiwfM0Q6lLtY4rstmwrynIvvNns+eVtruJLA/LvE0iVtf3P3K9vLOPpD+KWJHxhMrI
7+zymcGqHDdDGXSh4QBRnR2sZfwvLa/upw4CDuR//Lxjm+8TooL273/6H5qFzAn4ArgvX0ZZr29+
wU01eiQIQcNc2c9o6HhIJv9J+Pxv29x/uK10mZE4EjL9hzEVuynCDGqJYNES05PYf/w2Jd177q46
N/8693ny0djpTxdmQNp26G9rdPfX5vVvHf2mbCPKEsJ2oiTtjmFPwzzpzfbAkkArZ3RgPXDmIKaG
3h5Q32LKZ8xdGuL7CItgDmFvyR/ev9fnUq31QWeOiNmVh50m8NmQoVbyNnHVmncsS79VtTX/+rv4
zSC3V0QkfYC/X6eMZ0+WZfEYm3T9SebkYP76FkjdVkRYZl3gJPZVq5MzXypWua1C/FEqVfNGG8ST
maefa7U4QEH43CZC2QzJeAkz8mcP1pZs92S5fP8urFPZN18Lea/Fo86rLV5GIr/9MoYz1TMBRh0A
hYE+TU7xLBqWGqmuPCVdByWAk5Am2Rejr+tdV/ETKXFBS1epHrV2ojFFHbfJa3gHgMNmigzjCltd
u0EASLTv3urVyV9MSpDePhidgaYmfUYYWSMDlelW6aMtkvAUhUYU495ktrROHTOhEsau5rgyVmsG
kaScrVVV3+Rk+Hgq6AVuDa2sdWz3srGli9oe3r83+tt7s06SAXUbAO0AcJ8NS11tmMgwU+sgCjku
zBYWAKKcUD2PBX0xxCTeHMMsRrqLGWoY1JfLpLXqmXlTURCu6GfiZDwg2NlFrUpla6lMiYa1bl7Q
ru+6IgJpkxVEvTt0QqPiw/XsjdQKGLMFBH81uUEdstSz3YxeBut8S7FJUdqhSXEUn57auCnt9lHq
FvFHojjhPG3BfpNNreTJrkUs/cGy+vbhB3Tv8njpTO6Jfji7kwj5jXqwgQ7UZOKhR6Frw5OQlIP4
4IP0tysNo0PNcWGWwIcCCvH6NWMKEjZ6ntUBIdTf05S6R0OTs2vsvnzOl44Oh01XKlm7y80kq02Z
wU/VpQuNgiQHf6zj7zpHeKJU9JNdcN7LOAJyf7NttZ4ZSw7v9LdPWGNonGJL3SshZ5f3H7w//WgM
8BiAWrZqAXY/G02VnFx1bYnrALmv5us5HgzstrVXdFSdaBPxxIzy53pemjPaT/hznonb/WDFertA
wlWEA2AZumFab9QM2Mw7u9a0OoC/8QugNjGwuuDDoEB54/zRp+lvyy6b9GQbjgECijUc4fUPhwSu
B6Kl18wvx2iX1dXsr2PJhWBKz9UiiwYuBTV4HrYIx4yui6V6JGsuuxQFxb2pRt/B8s6XGGKxIXHw
3mQmKi0T1y0CzW6A7zNev/8zvd1H+cYQFCiIBSv6uZCgxTxZdBOvlq3MSVB1de8jY822UuX8RBsV
AIqafzC0/EPBz6fxRKiYqlm2z98kjHNkwzY6AaUpjc2mQn8P71c/pXgB93HR00+NyoITrTx0tKeO
LliQl54h/XZli5FY9ZOSFgIZ753fZwPQH5ASMB8jbddQzdYGR8xYcOw2rP5RJ9CZEpg2QKlxcNIZ
P+96e13NEot+7Tp+MXG13macqHAaGfHeRKQcRBlgxQTcdd7oCxp7hnq1JpzNwtBhF9trMQ/iOMDa
jjCQU9w00id5mW1UuQm5Ond/rCdhAXgYL4HKhCL8RhTZ5NV1N+6Whcfw/Z/yj8uGMEwEPEJH7WWe
VwOAcOLWZNmI5j6+yQrGmBrHF7LYzH5DY7liD+SQm7j6d9rmdLMtfuhybBx/lCChStGOF/ZMj+hl
rS8wXB+SOanpmXa15fe9/vVltGnWGtApprUXBePuqzjlR3j/St4WsMjWqC5QM+kq6POz9b6NTEaw
ZAoGJUGZGzmNpV/Y6ythxsMxat3Cc52l+Go6oe0b9pB9sGeu+Shn9YSDtcdC8UjBrmnn+h7XmTJ3
xLoUqDlTtEpvpxsto9/v5HTCjcY1H8oavBoWo+yABVKFoskOiYOhZlHmf0G2gSmt2oUfLTym7F1M
lGwGQGI2v6maJPy1eoQvDfVsnT/Q2tAU+nzhlJKHCCvOqtdpgEWTPaUpGahkmPpkL9LOXerktiXi
4kHNLb9W3VM7IOC0xGLt5lXzUkTkc0buip9T1F8m9pmgdBDYZDjBvPd/pD9UFo5O9e1oeDbYlcV6
F3+rugZmdWU6xlXQMKR4GRDA5mIkrDERAmqubGGxgfTJED2qBMctCRVDmDwwPKgPL2MY5NwIp1rX
8Nitb/N1fWvEvZku4C37+mvJRN+PZmYRtlrMwfvf/u265+iCioL3XuWYen5Gkr1SA5yPqgBTQKCF
zBfXpSKbORW/dKPysPhg1XtTPNurO5+mkr3KHNjYzzbEmPj2uc04CdLarjEjE5uXrJP7l1lM9/Lz
SoZCA+sLSg5EI3IdAw49QadGNclt27TZ1kLMskGq8dHicb5Rvnw5jB8G79uqGlr//LcfU8yYxBUi
DANgTAatQb4Dbi2mAIzL8vWuvH/7//Bx6yuOUsnQOEy82Xay2uoYRGbBaK1PLfkepIyyInU8O5wd
PzoRO+dVsM0ax4qyGloYjXByfH15cTswbWyTOIjj2Dq5uLNYC1vbn0wohS2K7M0If3CL6YE9gzJ0
n1hjuNc0pSSjxbS/jGbh3qSD3AtDXncC73MjegAyI6HOI++oT3elO+ZOXQbuCCKCHJbkVBqpi1ql
YLoJ9WTXJfzHkwFzLrPrW9yk6YEwZG3F4ze+UukF8C6SzznDmLGHfW70zciC/m4AHprCcUdHstm2
UWMGhR4ZF2g5FCYq2XU3q2RKIwcLbN3gHmptchKNkvphmkVo/S19t0DD8PPScXwZ8wexrnzXVrWd
NjbydqZQ2+EmSHG4c1IjUXygbYhxVlJzL5uEObVfZoVxgUDVQgeWuakPHLrclbWZXMi0hbxQELlJ
lyw08Jo0zh7aQnICOQOIQflU9+Z1FCe6D/O4OzpCWWj/LNo3OboG8vnM+uBFM84LdRsGuIYSCyA4
GUWc11//2Pj7W1fJ2eVRUEDiWM89OHy5iE5lsk0thZldva6bpgzCesTivszmVq/XHxDXl48PSDC/
kNT1dmunJBTGP3I9JaAd6SFcCwwDFg/QdlacFPqcxiC8bMsdQwTyd9a7TZaGcg9Qwzy5638+rfpr
YjjvLRu1yTgJlCQWHhiJo2BPtLLzQcPpfPNC9scLxRtMHcNCo5496qycGkiGzNnFEAVbYI60iD54
e88Xz5ePsFEYrkE5cGnPbjCnMItGQOQgGEhrvxpovw7twDGjxlHY9ST8zgpYj/eXjPOigA9l7TQp
bjhPsGycrVAkcopUxGtSe2U3W4ZfrVeTaMHYLSP6xmCkRwRtd6iwSXtmn3UftLW089reBgJGgaxT
wNNPpePy+qmamyIf0qKydxIYLXP5dE3lNRY/TdcPDC33ULu9E7Da3dN2yAIwFcPn92/BiwLu987e
y3egRa5zlkH0uwrEf1+leW1aW28VsUtFpvjD3HR7XB4tB3EVHGQ7JLCGCrV7whcaXnEjzatqQnVa
9rrzSSF32I8Hu/W60Ux3slicR7XTuZVNR3UX17sii9u7cZ67g9XaXE4f26cGZtjJrsfmQY9QJcA8
0JJgdPsbw47qTUw+ywfFl6VzDa+ukQIWwDAEBYPGNXvz62uck16YDVvoTvJWnUajnXZqHWmeO1TD
xctFuDLOb9Qxsk9dzB8weAw9F7C5nxNX4S2UYL5BL8Iz4jDau1Hs+HaVKrzXancAw/Bco8XYK4NA
QuYMi59Exm2mF8a2bpPhYsHZssfx3K7WIicQE+HXltVtIcakqDlEs81Fv6DwwS09VKWyK2p98dvQ
2kR1TKh923RXE/9yV4sBiUUc3c1QJsF+j/nNvNQPS5saLELywhrhkC0mYIyoiYdLPbH7R9hsP99/
ZN64OW1uJ014NJU2rWDj/KxV47DE84dAI8paeidSaT07HU4QKD4VhUmKrTS13dJr5iYRc+jpdLwA
tNfOnujO1QZI9ypjvuzlLq9ZWg7xEUSu+tTMqc142V2O/FfEacAquPJsyz2NJEkiQCyCTB1+LGnt
HjnlkSXfI9mz+s7cNXpTIurTW08hlVRim98Nk3Jf0JD2s6X9qLIx36xWUME4bdI2suA/0C59/UCl
ST8L2imkuQ1s3g4ehW/6NDIE44uH7KAOMfCV0wf9OCk7QykUhDhNfNTS3tnPZlL7aRziksur4jPw
B+QdCa9dtnQW8fCgnwBT1TyYBKX6LeI4X4WrvJ37KoVB4KSeVB18sa0Mphkej6abn8bBeDQVDV6O
a38inf4nZx0cScynjkWv2BB46+EyKhPnpqeeBI8Fdckdco7jOJz9YpywsdMbCExGfjsGkzzoAx85
ubjN33943lRp61lSg0btrmvfm6JwnpKYGSXPzpBbz7gNnJv1XWklscSjFg0ftHFfwlPP3ny8XCjU
6ORCRT8XMxeSXpUqIYdJ5FR+yhz6EWFZfKxBrBCtWkw7Qw3Tq1j08VF3Wha8lvJLG7np09BQwTuk
UDFN/DK44WmMxGW4YNrWUPlM4mKOCCRvZt7rIUXyyt/1ampCX3F5LlvQG74+8jZTtj9XXbPc6hVi
Pq1Zhl8aQdt7afAO1BwKT2mnii0xQdEuRhL/GU5Ue8fAP/Q1CJG3dbKmC+noNID50OKC+baFJzJc
IuZyD0xkb3v8MXuQAqwciysvC1HapxZ3xeWosix3NbHjsPVCn4npigkshs/WzLPVDWwzSgycxrN0
yMJV0/MW9kp6pauVCiK1VL8ZoZ0jkdEYZ8dxpezctqDtPERgeLiRRMdpYhvTC6IC5YVYPtig//C0
8JDQi1n16Osu+fo964TIM0goZIK0iHJSi/vX1habU2USrG7xQvy7T+cKylcJiSGS17bOT+mCJPgW
Tru1y4uCAqTmbUA25x7QHDn7eLGaD94G7W1hybENWzwnXmTqtu2elSAO8rZGB3mwQ8dkbJM12XuN
djklBYOoEg/mcXLNZBt1gtxw2e7bjuVCZI2xrQpefnssGQWMwAng8aWeK9moMG2HvlqZLaIErQ/q
hktJRNXeFR3LtVWum7sVggLEt30DfvtpXpcRsk9CFNc8dELLn9AvwhQUqELTKlH8iN7kPfnY3WER
zmUOy2rHlOG5qci3X0brObPzJxJMGjJI+mk3k+V8pK+lbzU50Vip2vtu4VnXFFb+l621zii1WieK
H1GUGVsXoNathsgXjQhvkwt/IYh5BI9VnKvHsYeyUYl1Ny0yxOA1dUmWsM/IAjabur6rs8760RZy
/l4urG/ZwHO+gKb3s7bt9qji2Xsylt2OGLeHJMmUHfcN2AA8fgYW4GnouCy+q8RMAeZm+udPc573
ZJbKrrUVTvOry9PHNdp4E9KCzbzuummsdwczyWxeFpaLRBupB/pp4SZO3SHuVecSDppLd5j/6/aR
s+9s3tAy5q+oQGX8MgRmCrpYeGi++6CNuvYq0VARlX1YsS9wmQrcnasBmCK4bGKv5FyJAI+Se9CL
hHuXW06QL+KzmO0fBXpdqF2mfuDtHE54aowtKxhPsTU7AdHjlCzJSsdbX3dXcPtQmvIJCrtATRiY
Fxfcf9gMPYd2fo6Xt+vfsnT+2az5KqTjv3V9/i9MeKQvb6Ay+W2VeRPSEVRPr62b//yLv62btvkX
S5u1tgRdHFYkbvzLumnjz2T8iHGFziujhjXP6l/WTYvQRxrrmPDY1Naw2//iFGsm4c74F1VouUwN
BCfVf8O6ebb+musXo9BhEMzZjxHV2eFAt4mPsfJxVTMyMQKKgHOOKCvQaMwWlCKdLn67Mzd/b8z/
UcripkrKvvu//8d6Xaj/83l8IB187Kzn630eGV0GjnjcLvQZAblFz8OC5nAeaRm9/0lAOd9+FhNA
yh2X5ov95sRJKKFuGFAltkzmMy8qLKv2wOVqhxRb22UWUozIxUiDXO9JC+D8/1Og+bzpyik7FK4p
Cd1TMoStM7gB2CEd/rXMjdovzKpRPSWOsK6EiLQLqerd93lkyfU6zSaqB6kV8fbFkk/2ZjSqX8pq
bWeyoN0X9AmIO7KTRjsiA1BvklzvIq9LFnI9Utv81Yu42nbOmKIX63L5jP4m/hWJBFFEacORCfPl
xm10QbuNQJGgGTgPZLIfblNU5scGh8qwb0yJRhabPl9F2mH4BYsW7VEddg/dwyi3I8DRMxxLPCJ2
UC8GY+wiTxUICu5Ii78zW73a0CNvn4tUaS/sThxehGTagLNDYQgIyuu+tJKs9rPUCC9gay5HvDzl
zTTlpynW+60ZoniLkvpRKZC6Mqe9JfAEhbdln+ZV08w8Id40ddt4hqu0pznOY6hMtHZDld5trrl5
7CsCaUSSYYbQlAkt19w9Ji5OqmJi+kLAI3oom0ngNNhXfUmUYI6sipBfnH8aOhlLcbdDWNLGjnQU
7WCDdOVubgaU2iz1rN5xQK/C9POCdbbBDpHVzDlCyhCaH9EzBcGqOUeVmNIOsVUCorrVTTHg1NlU
MfNUsZrLdFEw7UI8CtYQgwUGSdwC0VOko6Fc+4KrqGMMedS1jjBlsyT8kbZ1lQHYXKV5mRHT7TPj
T70GAIkZ+U9LhqdVldlUae7lGvkCmBY3yciYaZ0ch0Y2eVWh/UxFsTOw9HiF7INVKfsyqs1CBgH8
nyF0rgARPmPhOcFuvIhqDmLZECJ2j5tPEYweYjg2xH4d4zALekM5xahCtjVEVM+ZHGZXDcyN6ARg
GSEoUunuuunxCiN9KFeN/2jQCDTG/Ki60y9BbY8VjmC3rODHa1f3gQt5kzY0HFyKYHiHq0Y0cdE3
SNO50ucYGHA4fY/D7ssU6WJr6eMaXUDmhwiV+9CIThwVgaIZJI1VSscRky38ZeQ7iegYhVkViFZ/
zFSXC8ASo4Z83GowCy0zSGkGb3ICc73eZkBaV+R0reRSMerKoav6wW87C1pSGt/GBda/sBrBPecc
lsKCFzVjdHcPZg/VdmffU2AzA6TXPJT8DqZaf3dRXv4P75uvdtf/j3Iisb6+T0u4e0qfuj5+Kn/f
YP/5V/9sr85fCEDBtq66PdSLbDh/gxEEqH8HwdW6w9HS5BT/X7urof5FyjLKFnedebLz8kf/SgEw
/sJ4jWSDbiGHbEQI/87uih71bA8i9p55tcCezDYOpWndo34bkVS8vQqPY7dTC1HkgRJOXXhJX0Gy
HrmVOJROJMi+m4ZOBG6aVuOmEcye/QJxzFVHS5p9BOr+USeoYzcak0GX3uU1Kea6zTkcYBPxqM/L
xktlocuTy4FX2qmB1aGxxz6YW0MdN2iwl20UEdzhSQrOS4l0CUIgYR6HmACYditlUdQBRrGMZIFp
Gn3NmCZClce0ajdZVRDphCMqIillEN/xb8ptBG0tAEzi3Cw0MC4bBQciZtSME0pWbetGZneDXjc/
Bl1VnuYS3MtnNQ/F9wJkGejRKGq9WQfDtymsMI53kdlFP9EHpV9y1HKwrVTiTDb1aGdOYA/F9KlT
VRkkMwEHmFEb+XWea9Jllnn6ajh49TdjqdZXydzhDyhKLR02ouwX28t0nd593is0XddIWtK0iqQN
N0Or1WCSSai6LlqtwZmuSfdrXcH4fVKZfqZoukiM2o444qJNY7btFZpV66vDQl2S7xXDL8c8qkBy
NvAxogWVtAVsdzCOgBw7fARlVa38wJKeYF/KL1L2ab7RezDgJ5UCvsaV1Ba7JkWtY/QyOy0oq2/y
pDV/xmh7PyMWR4yEKn3BZTU15UWdLTB1DdoJ2zAf64eiK/NgWJxKeIUl2dNL3DlQ3hdpPcQy6h+a
Braqj6SNjYxoArKjRZQ2W77B9AAlKL8p6ya+zTQcWrtw7l0wTX3HVjJFj2k02ZaGPB5TAaoJORm+
Y8vli+zrob0QdE8Uz0hQNO+kEpP9oICHf7K6gZLJrWhzHDW7JmvCaleT3qwNCgZGVb3vmiFtt6Ej
sARrZtowyK26Ptz0sy05FM5O9yApoRdP5uP0lcOpc2IXdjN2jjaU2wEuc80DO3OgoYoc3Q3bemkE
K7OpCcIxNept38CB5GysDAGJ4fLUFaZ+K7vR+ZylnbVxs5hPVWDLc2odiuWGYtfI7xBbovlzibBM
wFbeaCtddRoIVApyfAhQojSn/FrqMjvaIAIVX6tI8ql7JMJaWTgcH6XRXyThLEz2cIRxrVXCuiwr
8dWNUs3ZFFqiNV4F1opT2ECVBSEZFy0dxvbgGFNPZ4bu7o4DsVz9VooxAzLsoztz0V2JiSV1H9Ux
ab6kau5g03bMI3U78RUqzO5NiqXRMyvnC3YFMpsqYzRJIdDMJ3KjBDnTZlQJMN1kgG/cKZfXTbmM
M+ouaV60A1nJcPgHDpBGW8tHi8rme5xGWB1ze3byoGUdSHd6tkhjz6Ab1FskVD6Z8s6QZFFkNr3d
OgLcUoFQHjcxIl9UDdAtY2+yZKRuk4xgqU0Dv/NyxoyBqqvW4VkwpyDqCOMyr3ms9jOyJegHBFHy
wD5VppI8ZUqthHvdjfOfcyPh/ruRQeWJHpxyrIt/tEJUV4jarGBS1eUhdomT2uhwOX+0pB9dU+EK
8zgtAuBsJPFyKaukJy1RKRIs555I2Yg+80SlnihgQ4Zlu1Q7NpP5K+L2/IoQEpVkabUxCV6nhAws
8kLcrWUPP9IWvinK0QYVJDHsHPXx28lUY1BZ9IhZT/Szlk8sNlYB0ckJn5xUoeihIuID7Ka96CjH
HhPCBMAT90hnEV4UypdGneQVtnz1WXIMozpLa47vcKVoqfN+n5jwVD+Zk7lriQLBOXA0VscHc1JS
oFMqtIWdHIjLCpgs8pqRY4QjrS8XQ79s7bnf22Fl3Tuhlmu+Nsp5Q2A3IiZMueW2S6v4aFjJt6jX
iEbKE33T67V8yidZf5IjI0idgTF0Z0v5ZLKcEaYClRALfobxFXZpTjccl+iT5U6G2CeTUd64maK3
m2GZB3QbvXWw82Z57HNbAnKuMD1qkIFLkll6M/mkmkQw8HcRegASwlAvYyffYU82DtkEPJ226FKz
HI0qyQNhbV9XMje+KQrZCvqsVTsDQSOgL/jiN0XcFywoemSt0alj+S3Ni2mPcWYyPDnWyU8hRQyx
uK2crbI07uQNQz7a9xF5J88AtxioW0XRfLNa00bJ23VtTFpXJD1TKQhwTabQgq5X2ZCZabbUG2uY
6bRbS3gjmXurWzvhWOk7NOEzPGya+EKH02TjzsL9avHZ6cS1eaYbklbh2tNRV3R9H8khpqsiY7Ri
BN4xOrcuiJaTX8EBjESzF5US42TnPImWR5IiwpClPFlDa1z3jbiTuT35hgB5uSb/hVGlEDLfM3NP
rPCYGEQubabO/DnFqXqIYhfcG8Q4rx/q2Tfn5FtGuBNOcvuXNSXf+8hUAi3JK78Po0J6sks0jDXR
ZH7ps6TBq1qzEm9iBGwoSipzNA4c+TOyt8wmrQ+jGcYj+WHVyoBXhDX4ESG0jRfZORbkifnaao1y
flZYV2MUKb32ENcOs/1a7RNrP2a5M10tPD4/QyGWyhsHSh0zzoveV+OuOpl9Ou8WV033Ga21rT40
Cc9KPhwlLmYf+IDd+dBa0kPV5+o2BsR6B18t31lDCDNucLMfhZPoz04S9l9zrKD+tMzkSTSE12WL
MBN/VFNmUqYVCiahldiU7liScFECettAos8E55JKUT6bcZLD2R2HhNi7TDalrzfJsFw1TplgEOOB
gUVMpO9MQFtvaNuhjaZDnSjGFSdNjFX5ZEQVRnJpPBJtlqUHdzG6X04T6sSG5sTAkGWZH4qiQ+fE
ijDYO2NSnetlyY0ZeHzrQtCr3ZPa62D1ek3CFaw748JqW5iF4RD332sdQPqmJ8nmG4afPvVnszeQ
BylgfTYSdbYdlEIriBtRYRYewHEQJThb4YQurU8vtdbRMdJnUEA3OpOQrGhDRteVM24qoXcPFFG0
FDIcHT+6ZkZRXfXxRV5YTkxKlIO8jE1pukJ2Ry5G7sJQgd60psp0hpZeS1uL4w0Ohd6vhRIvvobF
lnlglBRMkTWHUyKL3W4c23X3W+wmZ1t9aWHkWCOtnNfUQz8DFMTKxS0RHNUDLTTbRtCSYFBWbPsR
pqlM96UWN7ecV6OK47bezluZ8J88JZU9J9etFkaXTORb6Rl6R/0i3OZWrwtxF3bEVOD1F4j5I7jX
KPYlLR5lsABkA8aT6m7oUh8iOC7kHv3LRqEwvbUiazzKkNvjhTEq5g3LuPWQjVTFLBnxXAcJ1uxm
68SmU3xBplP9ghCpJ3cZAZP8lXGtjlIsaWi4ZZ8/USiEd8D15+jkoP9UoSn187IKuaJii52fRsTc
pLgNWaBnMlwIAnrIQlPj4MoefS2rOTyWcoCRqeXtr0Ja2t2YDXHna7Wb38YLJH2djtGDPuDT1wfX
/SWNQf2MRGU80r9TvsJ4oCmE7XK5HauUqGlVo1wwm143vcLp0qAozXnejCu3VC2j+UuVzEyIJHvM
F0QmyILNzMwRNIJRzwJQGjZ5YNCSOy/CU5FTKauZCX07p4rpkjJs9w7V/4WwB62hGR8bh6TTRb5D
NGglvojZ3TZmDOyVwKA4Si4WNDdHSxKydWAg3dFVgvyt+NLN3WciyIofXYuhzAMCBXWq4yz1YKZz
HHsihu+oBWrM5MPj6Y1XkiV+RtaslDR2axkZt5K4UrnKU9V29n5O9dypfJfg2vQQlyQZTN4ycNzx
kdRWzmMzQfi9A3uvYs/nSYP+kk1IRDdpKJ8skifXxN10NyIgRLOc29tINyslmEpTHAzeJx7MRXGK
E1PKevKkYQ4GPMqIgtWosASSWndPmlGzXGThHN5mLjXBTQ5AoIzYEchjOKEbUcIgJuQRHKcTya0O
ro9IRKMYBk4qOcFwc4K/sGmayxgxcnpdAyWCLK7VhXnVg+Ak2V3rhvjaGW0prmk4huM+7ZKeKalV
3qK4apSTY1GT3M9QjpbAbWYQm920xMmB8UWSPiZR3RZ7qwW7vqvJKui+FcusPjF0IDWtnqUVfstE
VIYbm4QSmyKJ4X7E7z7qNOeGrqPMbKcmYdw9J2GMiFNnOIkeovfavh2l14SwyMLEml0cs0xRERug
ijXnQmu3utVp+0qFpQptjlpCD8X0KQb3UID3AjSLrqkGjlqaMkov0eaNtrcUWtVv+0zvdnDiBsXv
oxGqDOG44QUd0Unu6tRh73LJZw4vcLbPDUafXlfnDTtDAXpOEXn3dcoot+tmmovLHLaa7SkNAa0F
zabeqS9KFVTBPnRceog9/NL4gU1KMFCa+pIyRx3H0zAazCsJpyeY93OM2Df9Dux7qG4j2c9+Keok
BnETQmBWOzHcpI3rfk0p7pjezn1tM1pCxOhXbTITdxo5Ni09xVyAuIWY/TbEJvQ75D+I0BZiQ45J
kX0l4iikItfq6IZuKXsiMa/fFIME502uLjdpF92lCHUliICMoIHcxRKypiaRMz2JOvaTUDZHvS/Y
pspYCZ8Xxm36QbNTTka0GNb86zyef8xRaxhk1GsRBas6dBcN3epPUmuEJ0VksP9D3D0MRqOYJEvk
dzLqWJtKt8uOEIBLnaolBI0cOrMlkARGw/fOdiRoBea7gl2oBe8wcxTGkNi1kWBmPUcPHTN2fg9n
IakmTyLteoYTrsP3JgsIYnKuJjALBlXxCaihZciIddK8vlWngNw5+2fD0p9sp0bvPneayYkpS+v2
qVBEeVCI0PFyYYcom/JOerj0NUFun9Xm/lJYxrXFcOOOrrQZJHVaMGSY1eU7wmZCiEeBh76f+nvu
vLs33Ujl31e2Vm0hZBxqtZyeIqStDzNCpi9EBvZpoKWafgGrzgZ26M4aqiMt/xoRZgHIqS0c1bMr
TS38cbCguZRNquRXrpQN65LhgFmk7T49NFHmop1cyI+YsoreUumEY+PXHPYhTockQfQW6n9U1iTR
oOd3QlbsxhX/w93N/4VTQUMwzvttHvVmJvjlV9f/x+YXrf7899blP//u79alq/6F4YKXG30IvN2X
+d/fvUuH8Z+OD3qd89GGtFbc6z+TQd3+S0cHziAHISX6rDW57V+9S43YU/zwDpBxRoQ22N7/l8kg
VlzUsC5GH7IPxLnB3jYVumWOcJCDyowtGATPwCDKZ+wDq7icP5DwvSiqfhPyMOx0TLqyJhJRDKpc
yOtOKXVMuPJb7UBj0QkYoKS/UKZRvmkl0WjzMPpFuHTNRvK3ug3nSgeMUmxJxHFhzklBNz4z4CCI
47ef7Q8Dy3NL2sv3Qr8JeRDHE9jWtcP7WwfXhVxF1VA4wajn3/qS76GNDH7gau/13rxAylAFVW7Q
Q0uA38TzpdVK9YOpKb/p7/LGl+9grKRehjiagRz49XfIHMKEphSCSZ1MdLpWWpSjJdX9+5f6ZhbM
L2AymUX1jZDKOFeq2NzkNF5S5KhQpQlGIfDbTvZjwjG3Gbvxgxv7h2vCLMPVIMPRTR6k19eElE9T
p9SB6FraYsfMKEdoyA7//jXxUp7fOc4gjgvVTOUZXgf5v/96ephpzWiFdmDFAHOaDLxSmcs7msA/
3v+gP9w8lzkDE3muB8vs2QeRmccdXR/fMFEhAirp85gsjZfRCiEl6d9zKK7PA57Sl4EHXRzA0K+v
apJmVdmdaQe44FQvR0qAqhb7T7EAwJ9S8YGM+SWW4OzdxL7uGKtXGhvKuTg+0RwTEXEEvkZhCI4v
wj2hSFLvCAIVB/bQzIeIJYgeHPX9UgGFY2sKv8MsoXddTs1dmjltYJTF4BuZ4BSoWg3ZifD+fCj3
yw29pqL2nbh0KeTTEtxmQUzVhtlGPJA32KC66xfNl1YqSARIxS18n/b2/d/vT+85HSWBAwB12Nvn
ceTgPlrkwAVRSQBz+p/Uncly5EibXd+l92hhcgewaC1iHhhkJOfMDYxJMjG6Yx4cT68TLcn0d/1t
XSbTSotalFUWmTHAh/vde66wwqMZBfvsKF4sozkNwg8mzv8n8NJ6C3rNfaabJ/ybt/o/+75GrNy0
vN4c6/5fn4rc+Ni04CCW5eAfZz+715jmVo6dyr9xwv3zb4oIJGOQx+YueK//8pvSOu2miFj0Pogp
gJsHooptpX51KQzTv3lriY3/02MYkRFy/n3WhmTw7//9HxZRDGqeBRYMbZKwPe4tKzu0rPhX0Obz
o7T4IrhN/5xQy7bNOfYWGyKx3DwlncaMn+bpwJSq3JsAaxV8GSGfhmwUH2IkNjLJHN6Wx/n8Kep6
/67vx+pcpCrba4IMCk1tyCmwJOm9RkUmy6uC4WgzbDjUKYbxqMUiQNFKs2nbBrSpaCO45INNIZZI
KhHvp95FwFIOU7M0Fw8arCv+yLST22SEdTiCXXqIbZV/cBdXRyiy0/ZWU3UwESUY1CsEx6Lpg3e6
/fwHBtDZYemQoK0YD7eIWnnCGxFfnNzQGNVjWItrdUxFhuGe+8mKa0j97Lstjc+Drj9Cas6g4TUc
jlPTxGtd0dsY6NHsNN0Qh8zu8yfLrpuH0FZ0F8x48DHIzUuLs8dr3ut5jC8wh2PE8iXb04Ycfsqp
myvkfO8neJU3TcyWQ69VyXPetw9eRFYzUOmmsTNqEix10KODHNKOifvIUAR/qJfK8Gz7XvewjEjE
CYrkviN0tufl3FiAEdjOssk2HaUI5WmEEk+qT5bmLhoiPsyswOOH5y4eArSpJqM3bBq/OTLxnkze
zZJKx0nFXfe+6eOYtwy4FN4Iv3tzOj2+Cj+kyVqJupOruEXL4NhmaDbWUf8Slso/DgM+lKlprHUr
hX/XjBJ+Y2PHOPmSsI5pUmHrpw7dQTXOS5+KhWKkRAexvt3pkM/b7UbevtHqxAfTjgktI1pYhEYn
2/q1ED/hIZozHiT/pweIdFyFdpE+jEljC2CcBb8nHOwuXLN4zKycviHJRcg2ep060Zevnldik7Dt
/LMhX0B2KBZ846Mx756ozSioYEunGiJxG5/wduIH8YM/S0Lj0coeyJ1tbgZ5oN2YIxdoc4O5cwvV
nBZiZhURpIlsv0xsEOiz3LsLB5wV64H6LT0xRkhS3Nciv22OhGODlZcUw2GM7fmCkyjJVrkPOq2q
SI+s7UKpTajj+2KYk4MApJfeMh38fdOppeAvDW9MIErVIcJZVrbckQJmFuE0pzQCgpYwMHjy9NSv
i8zs5jpIn+kkmLdZVvc7KJXyMFlVsosaZpChAALSVDOikZz5fpQLExGIoIPcBSS1X0eIOWfPNN+V
g1c3G9qM82nT/IpimCccUOmVtZyWaikrh0LsjszZnUVMe4JA/qYpUSIKO4QZx6VqneKuR81pGaFR
QLPyukx92G2S3+famQ5g6OKvwsPVxSVwmpAR7XpDsdxIlZlnH2ADldvJjOneInHpcxRtP0eheigf
nTlEk6X2LTGBLd5fZ0fynxGoG+3mkQPivDj+OYb/tp1vI7N2yP3VWJ8SkYXnrgqhaygUqO+Oshtm
D3SLm9E/N62TPFiM4M5t20cfuM+8F3eBi1cmiSdWbUwcoNctAzNbgOWlWHJLJzuPQmglpwx8/kbW
HI6VK6hArMf3kD6dU1hhjGPXQ8MbhoFpzKIvPXbTYV370wLxL/OZ97UMroObs9cfsMPPioO3J5b7
zmvS7ZgHy5PbBN0FlTP7PWesuLYF0ZltPts3TTFfO7jO3Iat+L1OYJsMKFYv4JwW+o0M9lj6ZC9J
lL8PwN1hCaj5prigEMprXKpHm1n5UWFaPU4D7alxkROPHsd9OTB2rTw5feuJpBLMykItPGuW8z5H
sPH8srtMMXpCWGOsmiebGjnfOHeITn6CFy8td20ZgO0sq2lX+VG96pyeC4Uj69XStiMaMLjKXevj
FSt7EmqYiv4Qw1upKRDPHJKWPfCJZiUqHmXp2Hva2QRdMJVz8XWPo7+98/IbFMaxYDewgu+p+/kg
FYD5lldOrTMLEI7Lxu9RBxlbpBkE3dmFmuwNE2OCaYgftR2rbRAn5pyH/sWvRr0BY7LAD5U4mKeh
+RVHcQhj2KnW0ixXKZpwl09aTjCCJ/mug3TeOmVidkETM6QJ7QS6LCa0iWOV0fUL57L5h6shUmKX
ivct8I+1w2IDAxfzgdNY0VPK6/3ZRtNIzmYusZeXUsmZ5bzJiYKWQxVsgqaK7a0gpzxuZcU7grVl
Ca6l0Ji0ExavtzFtu9/Muoj0NEHUDkfs1XO4k5rGpb5b/hg3g+WXkaBEffxg0FUd+XHLqg/nbpf7
rb/GXEtLlikfWfs3NovPPQ9hs1/ymzfMi4qfCJ7NyaWbauUMC+gFg9BRlAmw76ygl1KGPMZwDtsl
nh+C0n8lAm/Tc2y9eJgp1h6b/FVaVbjrFhKw8E0dHSCjT3xzi66kOdRvnoiOPgVZ1xyqOqeuuoec
2ndFfppN58MHHYbjgAbPKj/oZi9B7+9JTLj7pCqpxNMO2MkWEX9i8n9neuVeh7rMAFem+mcF8Grb
+IISWJOfdctqQYVU9YcNKdvmGolrkfb4kji2o5lBiumb6iEUwMrWBIBb7PILUzHOjMLsLCCO6OiV
Ok5Z96dy3eo0T7HzBOy62bW2uWakLk9mEYzsI4+idgLLI1zwAkz4UtB9x2fz0ITGPgaiiXcWqPLH
BW1r16n4i6Kx4Z4cfrIrs0ifYC9nmGLzgbrfEQ0Nu5Chx6TJt72yf2A6CQEYpUSJw3HeLXjzshV2
BH0i52HjM3TtneMN/Wp282VXzRkde5AICbCoIZvIO/TYlURcfbqzS/2idot+p3vekUiCKIh15Bz9
tIKwAe2j8Id3087VZa7m+7msui8Blf2uqT2aMR06Orkb3tM5SY427roPr5NijylwPCqBQ7SyXnV8
K+gcUN23DRDqU4UzYJvWc7JJBklZaDf391EwgXdgEzzMNe3iRrUvfp0iK6ehu2misf1q9LSwc3Mo
WLlZBaphSKZN7bI2F5VM7nHFJD+ckY7Czq7lKgQHXqw8m3ErQsZ4pTPvrTa6x/I43KXuSJmZmbZV
yroNq6zelsO8QZmmc3qslj09YNSGu+OqW+rg4i6O4ndm2Q8O9oK5VR4TSYtrfEFeyFRx1q9dbmU7
GkC3Y2F/apkdhsnpj+VgWuDMnXtg1oDlCxIDe9/sH5jILvvyhk6nfQr8VbAzEoFyVddWeIqqOd+4
XhbgFngmiac2OL7wdkwCMTKBJlLMBQjbKNnKNGcyMUbZnmJsrDFKfPaNiN8DJeG/2zzNk5HbJV8O
fd28mJ6eYZTcU28Nr2HujteUtCVv7U/iUuzRqfXJjO/V9YqLzuRTQl3oKlPOA1br76T4bqdw3DdZ
NsCyT557yUxdNfWpxnacUbhnuQtQNcrh7srWIkAFsxOXOsBDNPjPaiYykbhqzS611jSo7Rmqq7fF
+0KKK3chJmGIbbmiqr0uV4MwDOJVlz0PVYbPotMv7RK+yibnn+ajqONfM4UiKaotRDrKmhVxnaFs
851W6UvqRgd8Bs9TmOMrao7E3cu16PS9Jwv+7u6It7kep+2Apg1PDOnWtYZ84wv0i7RxjxoCy26S
5WPOU3UsofEjOxwlvh4LgiK9Ng7+cFqmG2KIB+m444OmyuuBMvvuuy/LCNFMHAtgYqcoE3I3xhPT
3yn+zbyXiznX/ee+8RlgcsnnkbWE/EwXh7AvafWE0sddCyX1ZIrSXrvxlN6OUoQJfc8Ea5KHlCjB
cN6QiGpXkdYX12/nNa56zio1JYGemvy9lXBF6CYQ0AMUqTLhBeduTj26SyMcMpXeLBWfN/fWajVZ
wVMokwcAL/iD3fYXxq1d13PO15LTpyrcYSVi1vw64UDvRY/p4l28PH7rjb5XMvZXsG4HRghQafKg
bI9pulBJ5esXu/fndcuszyWT/p4zddkwxqjx/v0OLP+NoEK/Xlr2bFN3fGht8Up6e7iaclSvM2Io
aDRRHtopccD/0GJax8x56oZhcjZiy079FEQqgsgpAIK/ooWPuYOaONsG7S/tDHjUpOSV2jkwhHx8
EE5DnYHyqu3CkPlPAGTtIasYZ7UMMXaGRuydFc09Rmj7ormz7HLuP6dJxxyOJIUjbntlVEb4pw6b
97S2xF6TQt0jsTzhYqx2Mb4PMSb3IcfDh66xhu3M2rHFjiKpLHALDv0z9+bMaZv7xbX1qs3mYoch
v+H03755Rb5sB/BjO+DW9s3ZQHXTJOdn19JcXXTNWRIoyw57TPU586JOAWz/De3JMUProT64qTXs
2W/te5yHmFGqQp9Uc9CGJhapK/dim6YkCTfklwJX52vnVPI1nMV3PDvuxnX1uE9Lz34rx7Jntp+D
icCP+Hviu33t21BeTOZBhfc8a08OfdwDDEvhVEfdvRg6tfWRccBVpPitmoxB9sRpnv4Hpwte7Ar8
NqZJb2cTBy84kYmQko9O3bxINUQpVdqr2YYR2XBUTFC8PmMqjrfkOMw6BSLJ42ZnOHgFPaUm56yU
23A/Gi02uZbyVLe9+TksBphsK7clj+/O7pzhGPtEzKZcUJSpkvma2bA7FmhMJ3BuI+wJ+SNFiFqP
ik98MVF0wBXr7Ga0FGAT00DpTZdd/Lltj1gDt7hV5l3Eg85dSrXnKs/GbY6jlJuApy4RpT8cYwla
CCqsN9it0mO9jO1+mF25V2Uvzvyem0eC9stFuOMhLqbwxPAyRnOh0hoj/3zlAvY0da6Hbyh31hBv
v+bIm96pVvulg6W8NHMav5XZ8sV1nIzr1JQp3enWADZxIFdbtOMZ5uOL64o3fm13wstypHXV3xLL
xwiNn2Ddxkhu7txlVIs3bUpW1UIb0m3nbRUj00Okbs3cKmMqGGq+PlVF7URaxcmOS5//BufZ2fAV
rN9uzg+cVFW/CvFB4KPEQLE2udQ/0Cr0S21RL9FGaf2RF6n3mI2ZfXUbgpep4WpIH3rWXgs3+t0Q
EXlEj5Pr2vJ6EuA1zqR4ydc9nm8EpiG4Kzrd3mnqpbcyIj00zpBN6iaW28aq1J70HQThjjSLFzjZ
CdcgHhzRVgEFPBVNt3r5NXW+fQCWYN7TCpNUmectCof8HcwV6BUBpc/3nGTbKQzLJbUMhDkMxJaR
mxY0hPzI1+9H5Etccq1OmsPMfPUOO1i+Xaoqwz0+Mj+2ChTVM54+DIU+Vo8fJrf9rxGrjHuiigLw
6BR44Zr4cUC9D/ylLbnTWWzbIaVsgC9ZgG2Vsoa7NOnN86KIu4KmtCiLgOrf09BctOX7JMWwtczE
TW/pl2fbTfx9PZbsjgZMClOTp1wOrJlRy+CZ1oddHjrzJry5zW0N8bXoavESF/pc9ON9yGz/VJI1
ByDD3sGzWlLn0qpom4NB5FUES4cbTTeMnIOyeuUXtS+q1BVQJtZOp1L3tN4Xu1zXwZ1II2dXOlPK
Mhf2GrN37Z0Yyrtk0QKge37VQO8R8fgyNWZ5KuKxeca86l9sFdnbiWpbWkEsYqFWjsrelXV5wEgz
4xIMsgGfdbxInMwOa6Ky2X+tCi/LaokUOahgsrZZUMEw9kHprMt+iHdNkKClm6Yg2lWwGayCYcAe
Ipuu3FnxVH/IAnzp7TMpngPWn/tBhcN3qwUEUJoC9X7grQ7BEolbVtdtH2Ny67ZTPMowUvtoTOe1
QL9c1ZS3XCYxXP3EERuUHFjgMZga8D73CO4kwuKJ2XnMwsscYWeJqV21pGix3SebOiPsM2BrjizY
16SwaFoYo6a4CKzk2FC716DJ8nSTFrhPO1XLD8lV6hCNIcVZmDu3UD9qZmX98MiVksrgQuEaSi3J
jL3mb9Wn75Nh96NJZ94C7Lb3SB9foA/9o57hCFXL9DqY9NBM/bRHqaU3Mozta+fqbuvBkVzRkVWs
yyzwD1DcSwy5RXPywuxR4rnfAiU6xb49Yz4D/kOoOlVbVJ3hQr2R+3uuMGtuVE4QnDM4vllsAJiR
Y3xLZ8yfwz4IcDKyeNnhF7XNlA8Yt35D/qh/6LDrH5Mp7N9DSvMeeOe5FyPd7ZyxDR44y01riYGY
sH5VbezR/e7TpD1EizM/CAq8Y+q5yvg3GiwnfJ8j11l7CT54nzUPCGBHjHxHhO8WP0gacs9FFfX9
n8K3nXlrO/FC9myaGTsqocmQdV4dvbCXDhipcTGFK/q5uQYXVdwuxz4ydcWh22akSq0fIMJAXXpR
5C8FdV9b+rWauy6R0ya2bxOXOLN+mbpez7DAKfWr+OnD1D2KqQYgVTv2A7JIwI/uIuSLDkVPBMGM
iM5ZFlodvonyoSaRrFKX9hxmlmtwLBtR++NDXJabvssp6vLyLTcg3IRt/WdY2hfdz9GLhtfHtpvc
CCEJ9vxN4CzvSs9vS4f/BTSPu0vHbGOBdlyFdZ+sK5NBxq/QhBjoHJMys167yco2UYZ2iexOJ1G6
ZKcaQ6NSdJSA69ekP0V+oGWPy+zokzjtaIc5coLFNwuEXy47u2dXXFVdSDhEVFOk120IWMzvJlIg
oZViyGaqYt1To2aqnW0pdBwUjfTJA5h55tBXHd1cVts+S+snORpVrYJekgyko4IpNYKHjFfL4PbX
ztP0Ivtkf5/tpG4ObZFwiWy5rVQbL/bbk+W5dr8ytoEPE3btqkmQNe0pkO+8LnodjOpugwqB93EZ
e+92YymvMXw0hJul8b6M23DoxUMfEfzWjks5SVO/hOa2WBbjTUIuvNj748vC5SgUhtY+Z4bA9oZe
8ibmInjvDSyfNjfVpcQi8MjgMzhK1/NebJEQZJDCItqZWD7RvZ7s5U+s0BUHGUvpo80OZ/PdtjPk
NIloNwiS66sc+A3YMvxN3772vReqB+1Xinhq+AIae3MfdepBN7bLiKHJbdzvkV98NZawj5T0zQeb
ycgT4IQ42RSp1bHvVPIXSdbgQdR5+bsMgPrg1k4eoOD574PljdyOh0R95CJaTljd+Hc9gVtYlfQs
2etZYfqL6ko8RZUIa4KVvvPR1Yl7mMjpqlUXpvJa2DFqRNh0yZXaWLTdFHxLilfdprPjT6Xd6pUh
UvymMGr/pK5x2lod73zO21kcJSfJg9HZ8habKn3Xicujib+t/+mCZPpABfZ/lfi8QVEsWAi8DH9l
xxEeu1Ww1XxFTrXl+2wpVb5VgZn/QNOc1pi1hrUmyEavVuirtaHw4dUSKj1iEzaXdprwiFHCubaD
juIuE2Ynicx8g8jRKFJXbfyxILLwAFRl8zOERHBaOGtzqF4oqC04AGJ9VzTlJaN4ZvPS36MeqqvU
LakDl1PQSog22XLMA1hTWL9oP7DhDWOjQLuxMcU6Cdkkmmfu8XGQFmHZB2tS1erKuKznlkfcayuy
kkOJdlX9hM+9pdTOUDDBlQoR0seQe3H7qaQ1yYSQ7FLyNX5Vf+Uc0kjSOOQg1rlzI5e4YVY+d9Fk
21BdVXVhwQhrOl755Fygy9WeazKs9dFtuEVXSuQkNrISzMQiA/fTydvpB4L1dLXtuHkSY1B9i2Yo
Lzj36JXHzfsngqt1gZBW3yV+YFk03YzeHzH01TfMW8x/FNMMPzXWk/ccFkWwKqHrSCgMzaDX8DVJ
sBpNKoKvagREz/OfO9FgqqcnEgc1yVr7keIf/zUJlPrSSfvqRKiiuuNEMho6KoGwJg5hW9EU12WY
zAem8DRYt2in9IEvpAcDpPfl0PXIeoKie7XjGsCbPNQjBwxL1ot9ytPGV5u0dwgDtnOc3Zu5F9VG
MHVljUh0uPOStD9TpAnfsECv2E1Lw1dH4aIt127IZuMSuaIoL7Tsy9j4M2MrPbj39hAg2AV9b9YA
BpKPoa3jYpO03bvvGGLBIFjT46ja6jHlgwp3ftj5L/RF48W2VRN8cTTyR+pHlfnMEz0hrpR1kB/q
AB/mmokxXlK+zXm3jx32zFXfdrNcB5GWv4YqkiQmOPKTB/amF9nfdrZITvsE0yOsdu1EpyQwv9u2
IDFEXHFecbXmOeGMxCtgmODQdVI1bLno2DNznOBnUi7lV5tMMZJlL8ABG6wiDk1vPRIme4FPctoj
bZpuAhRs/KD4atXK4z88O4DQITIZ39HbOvEUkw4nwGFKVADprHPyz7jzy2PgZ4KmyaS3nU1g2xnJ
rLj5bE1g2HV9h+2f0Y05F4WF6X3q5ftCT/KKIQaXNzz4qji0ZeF95WVvn03ray64i3H25kaM9IpR
rsu8NztZMgTiK6mPUzIwKAsYpl0JZc0JM8iB3YQy5Btny+GI51rtWx6kNy8hp4kqrf94oxOdheVH
pxy31XVaPKtc8bK7k2m79mIgpmyY1XLHN8XOl7a1Ij3j7LnbVCn5i67+04QjBs+ozLNrGoqHkrnv
3k2a5DlVijZdt7PmQ66cdNwxt093uvM/RGWbR0vm/qclkXbgtdwZ16m+BuHlLzTplPZhmaoI8ddv
3iN28zsrqZx7CMXWY2K5f2fEuNkf/qPlJQIQBLSPiShmWv9mn/gHx0Ja2EFdp014u9MzPOXGfCUR
kj6UfZ2xb3NUfRhhab3Y48hW+l8bJvz/zC6BBYUpKFlnjDd/8fcsLuiDLJrDvZFJ/xDJuj2MLQlh
tkRk1AkwdMydjMG4nY9f08KW0pLg3dVj4eC+7z6LuhPrMCTAU9Y2aRPNgEnPkgQxx3jmza5z1cnk
IcsoGRDMV2I5tNKvTkD+lkvfZfedSzX7JNAGPZxaJdkpmNBQStmZ0Q8thO3C3au5oM4Sd9BGxqxl
Qzv4nFDEM624TMYm41ybTH7mmjSQFYz9oYEMB25Ik8rnMoZVag7/jjLpAkb56+cWodmSBqdbmWHw
7a39h89N8VXi7fM5reOh5N5gX31/NtV6yM1RO1iWJnzSxouYuztmMOesGwwd1ltOATePwXSzmCdR
sFbpqCnjUXKbR954tGGKravZOs/2wH23hLCeeTkJk7wI/saYczOS/tNLEAy06P928DOEN+fcP7wE
ygHieozaaG+3dc4VJxqXch0uc3perP7RmUe5GdmcKd7t0hOcmOGbiddwbGlXOEwIbsLRBY/YZCN7
4Nv4m+/mf/aX8wm042UHkf9Xk2CChicdEpN7Ut+soeSYiCERnvybX+PcwF9/ef7Ax+F45BFgaf8r
ubNmYOx3cQ2vPaFgmO2bOiYCQQP9wqX8TQsTCkEB60M7sd7QySsfMw6hMw01TQFQyo0eShMW2GZ4
WGqh1UPvDVj3i5gyTj+zn2ton6//9Vvj/NXSyHptOwJmIGsQRQzeX2yaDRFHBAm+e2Pnsigsrhbr
wEYczOOiXqH7+69R8VDZWfWTQBkAUkUpYDqW6cn4Rm4wM5gvkUfz/2Tb3mzR/6fevft3q+9nxZEm
Y6v+y7/+9/8XKtP/t3QJej9YHv7b/zZB/5NJ+zro/OP3P/qz8Tvf/pf/hZaQ/4pnE3ybixPbIbDE
WoLtov+3f4HcFIYCgQHXSMAG9w/+bM/9V+FgmI7oT3GEdHm4u2ro03/7FzfCng1qiP9R4KeW9v+V
PZub0F+eEKZON4IRhkUfAy1K/39cJpIkKWSmXYQgYr+HluKDD0ZiqNP0XF+90urOU2ObTWn51ZkG
6XQlINIcobPkZ+IQJAqo7XkNtRFf5PO4G3O43fEoEgqa8vkM1ztFGAMl1goRn3zFzSSZlw+k2ivC
8sYbXCTSWZ0tq/Q3UxQGq6AiGkoZ7L1n8CoRc3wlIfoV++TrcMacUPaavatKZ0FuKeZdg3AKAyLM
tlkeOC+lyLBVN0VanrDK6UtN7+yDdgL1CVCC6mk8t79N5qYHft/0AKmGW9jNo76qpZ+8ukg369Ya
67VvhmxDk1XxS6ihxC3Cb6VhOlEg5coaxgSrud9UyRvVPtPR0pW3CST2mEYrbBtF9YF02J9yh2zK
1IbzA4nJcF+lYqbZrqs4ieNHHK5pOc8Hq5D6XCXT8MhlXDBj1kCN0j53XwzD2KSd56cs95L7LvWR
uOIRcLwKri4BlJceVe67AffwnsnJ/wEegcsJ0PlrFjbeem6reotUkD1BD3aPkWte82Bsrlx/GeQX
jaCcKB7ORJ2zuzEN9esUzzbpQpuSlC7JNnw11m3T5B9TU2f3aRqSym0yhwqGagrGJz/KFbPo9Dum
ph32bTGsu0E27zID5mr5pv6US/zH5CZcNkE0v6VufShScRoGuh+y2nF+jGFBsj/MiysorOjdl3N9
x3nfP3sKRWUYOEX7hc3lu8BTuurw6d9zCUJwXGoKL27+/89aDLTi0HJ67GamZmCEp5Oy/fh+KhH1
sWgogq2hc6P+u5fGBN/U4TnuO2ZqGxEsip46EtmnEultQxNxQOYL+/gWBT1J1sqq9QLSQ6kreJXi
PiJPv4+sxWCZKp0HHODtOkHvRWJfzH15a5NN7PF24IQPlTA7WXsBRv/B4QPCO+JGF5J1ULLSqu4Q
IWJvM+gRxpAl/wwTQKN+CHqcXk20kz0RnLRy52PPdncvo+Al8UkxRXQqYkUJMJiYNniOCmvc1aUq
P2RqNSvZZZyKBRk+HE6Js81bzvzNwuVn0dw4ZzNUa8vYzUYOlb31F+bbSWYaOKCVObjNEOzLHN+c
WoIHPbd75WGaDMKlvsRh7NMiHQLRZUJn5nq/JCNiVLNq85ieeKPXk1v9FqnZE3fKzomY8VMMdvGj
niVmAatDDujoPnYKfycdbj9unOkzPvvwZ5ERGFglJKt+OFkzPWLW/elLBaAxIRDf3XU6+MxHLa9L
XISH2mr9XYvNksXn9hNVG3oAYbnr18sj049HAg0wCcq23zRNbJ6SCPOaNwEyw54MkDFTX56o7tts
mbeyd/XaGaT1WMl6eKMpz4XZVUAupz3rAW4z5a9GO2c7T/oTUp2/BVwSfPdhEe/I7nmXdvB4mCjg
28ZZECHeubyrs0/NsYEI0I0jEoOolh3fY40jwkx6lS/1/JaoODx6QY42WlBc7NoB5pqA3pigGLv9
WHHGLCrBJcvpYKZ1SL0keePlGiZ0bSSBB2HKS26pNUNBc8unbQrBOG7ROLytlFLciPmnFXM+Ji/p
791BoKj40vtd5ySZ+dOVuetb21kru59PNhLvm9HWsh6ror7rMWmd7GbWJ3pogZmqSP+GDNSfJ9RY
pkSF/chDXqerLCWHW04Nnk0MZ96LJA/trntT1iTdZwZlAMnC+y5h4dumWejt8hEH4IyVlFmfevGw
025rk+3J7ZoVb8QBm1KwYcMQ76O2fkBboVCUVx5DmxwzJNTRYK9cQLG/t4lauPGGoF5N3++qKr91
bZeRYfovBOJ8SlV8NPD890aAxcND2GuB4B+U28IeyhV9vuBb4pFCr+BuyAWIAqLAxCz8c75gR/aj
8Ekv43wWFXs3RmC/f+LEmm3UMH3R/lzQsZs4mzgeL6nOfuQettAit3AnhWO7zoD9oxRjhvDgTOw9
wQpOuHVZk01qttDPx+8o6X+kY/CSyxq/4MgPQAGrzXuds2zQeqZycYAS7q+7BbKn3VOvXMbtvr+x
1hc7Nr+yMhKPtgRawE8nu8GYdUx+9tjzEN2fuY/euyrZAj2b1qok6N311O6KMrYwWXQpLc42jjMq
B45BLrHI88rfhIq8n52XTxsQDcXNPs40JK6fktJq96YZYirsx3ECJYWb+n2m8/jccMd+CKBInSsS
ot/gDjGri/m2DWLxgclL9YRAsOI8Gz12kiuvok1E2sP74I73ca7Ow5Qv945KLqBrXLbZUgNS0z3u
ZTKQNml0FtXZsU8WHDlE/+7Om81azfiVXHQoano9YlP5voXXy/Acdg/zSVVsnKU/tmpazXNYgzdF
EORPfTsddnr8ggXvYtm57ZOXTM1dHX4Hszf9yQIT3zczubQpFu5Z4AXQDM6Awm9IPfYfC9sQVeF2
uKmZ4V+dIq3HlZGAapFxxgWKeNg/g5/x8EObQtHyVWYNFRc2VgtgxBfIg+lG9KoVq4xU5ytLT75p
GC3gdNdMNFwz7W1XO5uF/PpmmCAZG5Ix0PPT+ahCs6i9TAyZZi/tnuv0Zu5rwofQEgNkgdB6JXWy
gELiiJLY9XdZz/NzrYJybXUkowa/ZPf2PBX9CP3qFbT8tUKVQxxO7/us3ckh5E7uDe9UD2JBUljy
deH94H5Z3VIBGAIxDlx0rNJsa+wSNILoSoRQ95iI4jNPfeJeCaGE7Ew+/8CcbdhMk4+3fPFRtHmy
KkXSgQWjy7dVLm7ZHhyQzBPN/yDvPJYjR9ak+yrzAmgDAgG1Ta2YTMoiuYFRQouABp5+Dth1719d
V9mYzWbs33VbN6uYAiE+dz+u6beJHr6zoT32VfdRW3JLEN46l0GgNoEh6T2OS76742Sw73IK88M1
nlB6VYmkXpUo3ksfW9TKBB5y9q1wkzLYD1f9wLTCC2V7DnTJ5K5UPWpqTWlEzNXrnuXXPY3ovqAr
Ok2uOcLne8Pg1CnDMz6O6KgNtUZnSm/u1FTrN5zixjtoitOGBnXrYqDKWln8IQMOsKAk22PLB71U
aXtlx3Vx0IBgL2p8PQurFvVKL03vQHF7AxLNGHamRv1sUWmv8WiXO+wq6al3R7ZoX9lrcIPoNDX2
2GKiMQZ4i3Hh+K0OpLLFriz64KD8+Jhpg3omlOI8wl2iW6yLQhLSo9bPc1T3tlJuee35hjHbKV/d
lLZmgiIlWiAZhcGx94xRxmWtmidQyq+qK6xVRBJxMWa4Thv8qL5uaD+sKHOf8mwWnlWoPeSyWmV2
GeCUGiPGQrx1nwMxcKbwBgiNccQkHec6hKwMX7itknTXKOqkuVjvTMaQvKlZcPLxUF0cdzbpFOmK
xtb2Rxk26oRzvXouosJYJZZibALNXmPhMcOloN19Y/iq4rsT+UsCOf6S2mANEFJCZ5glLdwBrf+Q
j5A69EC4K1zV/i0wKvNsQxSgKivtbwuR5j8qpsrf5rGFZlnjrdAw53Rc+j/AYZJMi+z8yytLfzsg
ViLXcIJmkixPwiANTw4+z14jEYVwc+ZsuNG74sjEMboLsIdGjMlV9FjrKVtGSjUZLrTgbNC7uWWS
q58NWFirlnTBwg7reu/DDtjpTo7lRU4GoBBHrHqtzz6kar2z5pbW44irdtE2vb2wzbZ+9moV3CYq
Tu+KfhAH5DacXrERdbz1DKFLbgJrnhiCRfW8uebhTR3LDSY9nDhBDRYt9OVOq4ce23PnL+1e0TFU
NwCndMtZT77/2dOEYCwmvLCbPB05ug2mvwFq4z4bQ2UeqcYzb/uJHpmhMdSRRmlw46mNNtVY1gtX
VrWe6AD7LBtfrDwugHuKaYtrO4iic2eE0c6SDQdymatDQc6RXYMSpCFXrrEU0SXR+nwNTkpfM7ak
U08zrHxJ3elZTNV1pofgpAZ4o53TZAd3SgAOlcLbN45hnrAbJF+8ULX2vdI5whOTFY77wseeNX5h
63tvMCURq6kCUPpusKJ61QAIZ6CddLSJ4Pbwjz48URzMnBwN70qU5MeIVuNzABvyI9LIVvVTism6
m2itj52rcobIWhNWTDrClnio+uN8yUf0yj9VX24tEvTHAukcx3aIfEqy6zGk/4gG5oGJecgzRy09
9lVbhfmqbStspBzBlri984eAAzzQUr17DHQgVJrS7+Ix8DfS38CLId2skgONmzdxb6+coGdxGTmS
g4bSAmM8w/tTmyYA6mKOw3Us67fZvTz78uIzELNphS++XqlGOdy5bbmtJoOQZaLn5ZK0LV9ZyA5N
FdvXbRo+T6F+Dlg/1xA7aD9UbrQplKatwd6LNfc8f+fGWQrwJ6puutmMDmRJ7Trc+3NzSbZjp4gP
RlfmC9Vl7jX+NbmtwfEscyu46jDg402tdOIlQ2v0i1SwtMMyEgI+nl+jc3vihxAcnrCBS5XG1BsW
Kcp9iWWDg+8uLE6JC1CoDbr+lLEU0o2hDd1dbcX5c4Y0CsIrNPz3ys8nbeGHDhFhPVQM9PQuvgHb
qN0OkshNtq9k54JSgyPHMdPqzkWW5Oe4iY0XdsDqXGop19wQ2DDjWkUbI/z1YGlo3lNrTv4j3kS5
Vh33lgXSC/dTfAcMiynm2DLobLZOGdi31JDimm/slmRCYd2ag5TbthPVO/EYD0NG2EbPBT6N9yEj
iFKXOLHIqdg73hrKTJRR7Bt+yZ0nYM12tsSeAPpwxR8gn7hL948klbK7RvXynDiUXJI/KGC362Tw
+ExvRCb4ZdCkHgPRf5ZpLNbchKJDSBDtejT4p3bAWstUvGNuYIG5rHPNuGa3Ndao3viMfKyo46id
tFjHsZ/KYONwsFh4htIWKbzlGPO4xYxninls9dJz7px00AD3C+TmvMhwQelrUU3uUoettiyBNe3s
EcmRiCDsxoaWcDt5raD8TWOkYU6MPpJExntHVVcZqLIlRgZVLszhR83lx+UZdkxaS1tvfCkUHE1c
ROGfkd7/7bnn/yFeriHB9vy7ieaOiNp7+Jr+16V6/fisw19nmz9/+Ods0/tDnyeR4OU5ROskyv8+
27T+mKUHpEbdlMafvPqf7AnT/INbGEQKgLuuEHR+/H24CVIXwBbWMtOGa/T9n/42dr38Odb/cyL9
/wbWv1LiGbD+w3ATjJWhW5LePdqvfm8gEij7rPaNu82xuq0ipx4VF0PsWKU2qndQZpCy9JDslaIc
wWbvxZYJvcTpY38v4Gp+6NWU77iVC6o4YWFleOLmQu2XtEqcTTHZJDQQydW7akg6sT3XS5Sh4Exj
7nALrodwWZsH4cKImuqDQNq4HcLaucVTHfXrUC/lu0/EBme5tMNNp2WbkdKHKJbpEXGKqHpvN3s1
BXvbJqAwImZuotK7JrSpdqUXtE92oLyPRLPhTYfhSPQKRvzGzA38l2mcDh8BmN4Xwi/tYcKrtrIw
2m6nugjZh71xO2LO3taDoupSpFfeGLnXZur361HExa4IkZbV2NqLXmEqjdp6uvR439ZePITc40wb
flYKxGoBcLF86PCofUYcn64aXTMPym3vOTV7P8RUuxfTUbiUhNVFvKuFTyUuy1bJ/owZdE28DhzZ
iHN9647jANFGJE/IaToOvKE55Ilg6c66Kz+JohN+jHrD/Itga1niUxlrUElY2QCKJk70xuKu/cAb
4x5VVMtT4Nb+G3Fl4itDbWlf3Wg3V9nodk9FLLIrPnBep9UwqqAWKrB0eQbyUOPudi36x4s0XeNn
+4ITn6/seWlepF2XHVRCcKNKzfc+69HnJ6IKm8iEJssXXvJGafmdzAQg+cnHqkFw94kgb7xQdqp2
nsWmX7aJcUWlAI0jgqFeb3q89EDA+QoaAJad1TF+x+CGeO4/UjbUQ0sxsnupz4jgGk9ZM4Xm8zCW
ya4VbrHspJNdRyl9AngLuOXZXYOUK0gIOH4Ne5hzJbtgtc6s8FPwlviLiBLZs2F08b5lI+ND109w
aLNTX0zeB0a74GHAfNNy4c4eMSikBzf07fs+x1TFldpTJ7fDi92XuriplcnYX/M0ubILWWULWbXl
B+H0a0LBGvO1oNxAdhfnyRwzYoX2cA7hx4IzEnxrI+wYDynBZ7Ua6DYDOMR75sUGpdNV3r5MGLKP
DJDK2zbjWDdFpUvZLCEIc4g/lJwB/IwWSxL9j0lJAD3JrG5RacHRqsZ41VtY0LGp5A+GO3rnkFeH
1VDrprXu9wbFASBqz02hBxeTLC09dPQ88JSBQsPehUepNvuOSAihz3ZEZ3MwSr5z7qy9JaF8tdOg
e26qQXOJoM6mmuK9NoYD08F4qen9Ct8dSN+iZ98yy52rOHlSaXgfkt4IjFzsy5wmvaUIbe0/wErM
uW3jV9FTZ+XEtaXDemGCjYb4V0nHd5imFzXLAfEEpISOGaRO3oqrPl/HvDwRbGM4gWPZrPOndEjN
kDA7aGpuIZHJ8ClHE5i6/ovLfrvKwzw9AqTmEk/rT3IqAjN/KlRabWqnp1fGNkOZrRtOcDOBeUpu
ve/nOfl+tplUmHhweS6YY87rAinhdlzCxZOc9KWWvPyyTf3cAX5d8Z2Zuf6X1w4JBicVchvgIpvN
57cmklFrJMnsgCStFdx5abZwssS809zhBRoA/QkYXJeWE6gT1lwnYDZi9htihcwzVVUS1tQgcRkM
nkMg2ATfhi0TRdyIcdp9JmY7O0841Dlg4+SQ7pU5MacXbfWCk3dTcDTcWnl9EKlwl/QIvSs1FFR8
GtkFMEa1R6BWq3RM24NnoLkLRX8dtwuKxJIqMfc55xublLzerHkfxdLvcTx2dhdtAeJmlxaJ5KVw
k/yFkVI3x7byN5GZ7dkKRnVOgyrchD1ND0XTO08Ffvo9VUj+Zcyi7pZ/dTbV1Eakk8zwMHTEsj0q
I7mtkWDs23KiOKk3T8LtR+iubqPBUmv8TQAC925MNUDoPTfIJb820GlyDpsE9Mi26nF20Ok0rVMz
IYEZskauq9qvHhthGavA9MrHeG6iVWkuv7gbBauoSZJ56FcvhtKKjyWRUEButbAetcYS1zQ6aXdm
3YOz9b2AvcXVi08ga8MjsVr70XKK/BIyB7i4icWYer5Bm4YMT77SK1Itco8gsGoQs+hdBA+tXAKX
C6c1yCf3fX8z9Fly7vq8VcAAmAqHkjA0LYDDKh5VdUcVubcES8jBuTDEmyxN/77wZUG5Q/qAIteb
y2ayehLF9ZS9EG7mmGqK5jRVTQgHsh6OeUAnV+ZC2adCLTo5FhrmosI3jmgRjzOF16WhpOrKudjS
v661vryxnd5RW66EI2E+G+OFNPN1VfXtGstGcgHjXFzZw9SsQlgV1Gyb5WGgyuCGw73Yp8rnuOLs
oQguqyK/HkV4l0I8UH1KYiQYr4baxpPrOgRE2CaWxKsv9bxmEciXG39ex8zACG+ySdO+3HmFw4hE
5SK14UVfIdkwG1nkdWptp++Fsf1eJFkp5AoRKbhU8xrqMruF+heJiYWA6xNWP9bbcV55h3kNroQc
Djmpdpx2Qo1PTN7dDVcYVnSjULcd0e/jpBvti9Xb+qpIHdyDWkUz8PfGEM97hDPvFkCnG2zH8x4C
lC7Sdg4lB9Gy+d6CdGDhsMm1sYFWYijnftQL6xrgi2SCPO9rURWSu3ELI7G2te7ije7KclPP+2Rb
xbT+fe+geRm4b30ZW2wVfKeZ1YioPCKy4WQqG3JmBXmmrR+SWV5V31v6pHNLDUaN6S5tNt3GyBTQ
56nmI3K+Tw3jfIDQOElM85ECSwCHi8Tu42XeOhaxHM4dOsdH3wsVFPFw5qKniCa+1g5HhG54EZ42
7H3sJ4wWsmxbcvRZ0cY3lzi3Ag4vKNgVgVu5zIcCO66XJkQr8L7uzaZoruIgE6hbNoTO2nJviT9w
u69gz+A/rrxPNZXiMqS99d6lbXeJ6jF6ICXa3GEjHmoUzdbZNwGNZ5pfadjgdRld24bXUyfDxPFs
aybIB40wB2c6hv69FDZJYJJZF3SBEOt8maFsktxdlL1TvQ1V96TbZTkzCMaQwbBubdDDjK0L1eLe
CXjhMbeGfaXBgwdBbXf3geeCbMWMZq7NRGoXayrMvWMP8i6LC/sCw9da0vDO9yODZkb93ezd16t0
b2pR3KyyKMxzyFZUJgdGydTSA9d7ZROiXttdD1czifS3wZvad1jiJe8xCAoMxDxom76fLH1BPZOj
FsBdxI/RiawtSXWe4hRp8+DYJT6hytUOnur6HU1XwyF2AD0umIYw81F2cBMFms74jIoL4I33ZCvg
JBVaugVVy9V7MmrQu9j4bqhASF5QgnyinLpl4gfNmrfA6oKXsm3qtc5Ne00vgk+g2H/TqZ9Y8xtZ
64b+jaMoPb78aDDpzKWJbjRcRIvcJMGOHsMpEJCyLS8RLwP2RY5GTOCrIDtexNOnLuamdRLxBY1J
EepFCb5640YNRHLSA09FncgDbRTtlWUCKYa62q6J3Mb8sDPtHREmvIAcfrnLgX1dcQdYpJ59wBj5
BaLmbQRssmUDg//mIe3sncpyedr7OVMeM88kqTpuWXk4WPuJ/hgPMHrpCnk0ZCmepDLAybRp+QMX
YfwDm3P1mfC808FHkW7XTIxm9EfTTmFExFgs95YsroTdXyPszS4GDO7tMFCa6bJX8FiB/17rHVnD
ZUtvin6sSlnuXUA3S91PrANUYXM3NWW8NiprfI40vqc63I3j0Gvtiqmo/w5mVm4DkAU97Mz5WD8h
dtKt0TKhCuVHy4x160nFaNoYBYjZLDqWowC+0eZaAaSqE/ch95eByc3QfHYkvOOlmdTuKVc5qw3T
4fgOXhXK/dSjsMRZkm0YQJdbeh8tjsal1/EkWmiRIDBs/tQuek2jTi58p6wOEDBgX7k1r71L50Av
Nh0wNM3S5YWOkI3BzTDwVNeJXYe7vHKmde+l9bb0p4GLk2nOZWXjfvA8sY1mhQely3nKvmUff1aA
kIPHjQV1f2MarfMS4gcB+hyBZ3I1MudZOvLUVqOO4zMPaRQoi3ofA7j1yEtNjv4FJr5Zd4ZvvKId
ONee8tkey/s6cQCqIOnVtyKoxmzbU2b6EZsTj0HoPmY0c5GsZW/HDWdgMa76LWivekE+b9jqs5AW
Dan+2AQDuXV/FtpU1VUsSV2zCqQob0rHR5FjK+H7TRt9c894YrpH9yemBMunXRqORaPKLOkVs7pH
+k9ckb3wF5of2FfgXsRN+60Fym9d0HM87Y52OvNiGnn/JZM3v56wDWJ4WFBXHdrX+I/lDvYtxyIt
v8rAkUtd2asKIdeBHhhv7aiFKj1LmdYsNWXWx0i5D32L3/qnNiKF9p5jrMrOPzWzTMqB8Nigm1ro
p27yUky3NGABpEEHVbmIv2IrOCez5upWpX7jWL565vvF5jWrtP2s16azcovXGBEXF5NmLTX22S0Q
ufaZvlrc77ME7MPJ/kHhOXR/vZb7epaK2QnCkz3Lx24Yz+7gFOlwFpfjONgzKY4WnhNRMDG04Q1h
P/sW6Pf4YoXltNBmc041y9hTTATQyRPC7nCDLHj9jTM8tSx5yzKnM2cJejncBQxj9ym+lLWcNfOJ
rPodQgrzdA1cxUiOczNgztjJOZYYhZxkx9Qf1x3T2B1nSOaStJgg2lc09l6sNC/xabXDJoCEt06E
ET5Usx+gExjzobirHW58bxekKYFuwOOIAr7ebvgdYHHMNoOubOIn9e09aAZMQXmU3QY5iyipF23a
kNoYFq4dKtA9yUOqjeUhkXW7TfySA1lCEWKLOFyscPvfk++p11NbFof42yABiKZEOfu2TaRaTwNP
nfAEJgB7ePorID52y5PFr1IQEs6wVHRNRvTYJ6ZDGAj8m5yc95L6oV2YsEL4Zlav6sYeeVQiIGuC
SFaT06BjuEkMmKxgNet7OIhBYq3GNvGPwvD9q9zIcQeHbxaDGWxRBOr5idA/VpmfLEQymHRUh09N
5spl6PT6OrWm8cCEL19xfLjlXo5GQ1wpERi5IWb52VWYCOhTfeesmBNMa1AzxEhF5HA3d5P0iJff
4S3wDaxxhfExtR3xFFHnX6FPusLu3Yg6G9RQpfkGs16/KQ45I/cPkRbJMzCpKsXgJ/xbqXVI0hy0
L9xVSFtGFki+0WayZNm1+RjTJ7RsaA98zmwzW4oyLY7xHDaznJJsSK+7O92M0q3sKnXKTaqRoYgv
yyFfQhR1aFmS3rSZnNjY8oSZD3QCZRdKj8NF3jnVOsqYfYQeqQ8dQa+Jk2MhrMNQ70aX9xMw2HOt
iG+p0L2FOOBt496B6YE0uEcVTU8QgFxyHpq1p3HoEoCgav+D/V/8s6swkQOXVB32Z937zdnZx7nw
fTCcWw2L99qSsf1eBR24CWXlwLe8ivuvmQ7BfWDnpCarxOshyAB8uKE6YnyjQYlKr1Ra4XqMYgRK
XAXynZmOidbi6S0YkxBnJ9nZecKp22QIF+7AgHAsbPcQWQXlVDU3RO1PY/v/x/N4EgYzR/TfOYw/
2vfws6rGXyfxP3/sz0m8K+iHlfCOZ8AwOOe5Bfany5hJvGQ3I2VhYPT9/i8/J/GG/YcjBQXrAo+x
5wqJ1fynzdjQYUe72DsIQAgHk7LxP6FA/4MNn94MF/ETJDBjKa67f51IWfhs9bZs6X12rWefQ1nt
YoYLAqy76RybpR6NFRovVpmb77+8U/9kJPS7BGD/9lfPT8kvMQhBvC9J9Joee8n5JAjrhEvFtCsT
/61XNEb8+7/tH4IjePzQm13XtIByS/HNwP3lr4v9jsIxyRmpizk1B8qnoyp2yhVtmMlmrNl9gxi7
UsX2BgvCXXtOR71cqVtMetqnOdi6kFPwyLHvMjbOlRUPkNxSa9Ho/g8cjSDqFLp3VMRHFNv6PyFW
/8mvT1kwN1CHFjo41fK30aGoMsxCxNrWVtIUO8c0GdQUjYYfhXKQtcb0g6kvLoYpMYeL18bRnfSh
Ww6K+lJGywu9VU/YBYJl7OqkWCFvmhgQi+QtcOaGriwCMUESeuj5f0XWU1/tglkjA78lFUX9oEsJ
R6CEfq+RS604sFc7rkqrsQuI/9+MOLhjDEidFd5KMtjB2L+hzjMRACHYZqvB7xrqYpMbynBuy3S8
k+qDdFu74H7zMkTDtHWAT60aM3Pwm3nU8xllsvfctt0zh0ULqefxi8uLGdhiZWWYW2Z5wb2d6De5
hr8D0114a6ouPYlgGF/jrAGejCCCrNNUR4HkspAq1x3m0l61kkYbXePT7RfEeRVWjyTYcBkbqDfw
vYPUev/kuqQKpRfXl77DmzFRx3dooDe+mDolEEEeFdcuQCcW3Nl0AwPmZUh8b21hxnwrLYyEXA31
Q2ccexH2516f5qXYxVQam0mxIVgwHXJQiSzP05JZlwGIzSk/oij+iOhz22O495ZCqJ78nXGj1WUF
0S8EdpI+R254UBIkQGfD++SjsXBo7YyaH4BhHO16pHZab2t1ZVDgPrTFPWbr/M/MyV8iJ7/OcwUL
0F/GuYA6JfQiCMbIgSRpf8vPeWTzVAkOY92mKWYyWGIFDBTVhAlJdQBhNkvXfRSJ4TSFrfYS+sCP
SJcqJJ1IFSfXMR84YNOy4ufHvm3dzyHHxkXjbbqtkXqWtkdwNjSL5Ae7NUSHwde/vleE/+3t6l+W
mf9fjc3M+VX2oH+9qT00zWv1X/9EYf75kz/3NfmHqxsEuAhm2PNGxYr0c19z/uC2xs5Fvgv2nGvw
3fmbwqz/wfplk3n72+71931NkLlBGuEnUUbQsqla/R8ozM5vX09kZQtYrj7HcByB9vDXzaXJSQpX
rdVty7jx7jD3j9d5gaeXOuqoetO8ieEQQ//yzyPQv3wsSA39nu4zqKqlPYLHgheODem3v7mt7YS+
pa7b2hIKTFSZVvmKyWLUF1FnSHhhJf7UZcQU+SktY3pbB3LvydJ1UrPF7tvr9lZPS3gOdWWmzz7N
MFAiwPUsCFwHjAsqkvF6DYlsmWR+3e56MXeQqtagFJl5Au2UZeGOb7i4F2YzVvlW4Dl+zqjgex0L
4T1mepyFaxB03c1ImyAV38B9j1GYggeDmAyOpDNE+5RLJ9qQgKLsLss4wRPw7QMkvokilil/iyEu
h40JuLAwilUNxBE0j3HiWBnf0BDr/PAmW21NX4tPFWCRfBlaEoSZFtj+g9alEeCiQCv2oytgiPjj
p1NYyVbPzA3btNg38Nq4EIUXN2ydTTfguCFUCsLLyB+jCMINt3muQr2462gDwy0mbnFHMj2LuZqn
2feo1ZTXTGtwopBOFViZVuR4+MFKWZu8ZCavNcDBSN7Gy2oQr1iIOPZ48qhb3NTCFLCpWWFOSDdU
8IKWmvOvoOe2to1JsbamlP8JtJPw6/6a1KI6cYpq9pMPw8OnPQaTObtewQ63NICQLem+oYamjxzm
XaYJP89vto0VsLuBCdvIyLT2EpEa1oBQTLjaFpNnPUeBQ8HlfKAx1crFDgGzBfIWZIcwS+gTxjW+
qrDjbKe+wvVF5xR9S6AZwAdq8qM0umDXSrpwGHtq54msxp6hfnQ7TmmdrHJJrivAZguqYOYvMKXT
Ta5gwOOClXQd6a0Srs/dujdl/To6jP6Icph87oBXSNK30r2iZs14yzuRfTQOZBeq8krGo2x47S3A
mpM+AElaIdhG51jA/m9GnIm61A6ZWZYMWLPiR8ZAgPc6rkqNatsGdm5lUaywhIFANA0inm3j6bOL
SwYUjhQI2wgEDcByKyxTFh7JZALzYZjpKQWojlaDHrBNtNC9yyytgkWSSX2l7HwSFMYbDWxyTC5X
emWixtdq7G6ERpxeBuFIiXpQ4iRVunKe68YdAQjQi3pWjlmEYG01utp6V9/rTcRFFPxPdpp4oPYk
x/2SilM32EkvlfcF/GYQhwS8QSa4cwMy/ueeEbhdptdmVnSPXqAsKDfQRu8SexCYNzVZ9WvXggZ0
GPvG+CwUoTauxsZjAnW83TaZIb/A/vreRpoCnqc5i/uUNo2WdsuQtN/YnpqODCth21Evgh0LQ0BC
qB905H3L7BESu9IYqurGBpGiNJdWEDm37WTleM9Jt+GJ0K59OX7YQfJWZ+EJC8K21DW5aUdhLrJO
pLsu9MxrWyKvKEnJHnrhwh3t5OQ1QGInA/in0PHWIlg1u7hU59ye6guYl48woUmpKhiv+00a7HSO
3Ve54yQbeL7exhmzchNkDigBX2u2g1a7x3YaxLrph+JtsqtuM9LQdNbHmOhbNvr9ya+T4SvLfKqg
ol5ERw9Aa8gX2MXrMeUjsMlqtIw3B5faIRUtMrnjXA8OkFRM37BFVoYBe+9TFePsDQYOhqE4h3GK
/sY4JVjnTV0v8dZZD0k4AnfIu/bGMzHGL8LIR8ZETDpM7fRZmor1g4YuOReQ+StPjM4VEvrSkgkD
Um/QgjVOlIi+yjC7aLCdOK2ZLWa5ovdvOZYl5j1zmKqB4ZI0+yRQ3XujZe257ts6WcOzKxZD1IzX
LlT/5YgBx1jE5uDwzULyYbUI3lxY8istt9wdM35emOVQGBL1vBuDEDDyKX61+Bxxwvf8CQNf4KBH
afXpKOgDf9emAFGhphwaxmxXJYj3Q2tbX+xONFMUXrlNKxXEC5tvCuNiMxmWpU9d7rqaJtLWUY1h
YoVjq/qIIBsD00oq/eTYObqboHq5XoeVRj4azyZVjGF3G41B8oNUQ7JOQdF96qHRboE6DtSw8cBs
LdWRlylLKBHrrutcAvtJBoIM6nA3GNWOeWL+gWVdopQq/23E2CjvapWxzDZTHjarojH1AdYTps1V
yemgWGhGUK2TsgJCHk0mLer6WxmScrCyGvqtMLqjE3mrocqfNLoYsjmEI+jIZN6HA7djPrCNspZa
Ilm6Lk4pFTX3fSJgp/pGLM9O7dDXPdrosWnXq8vo5je+SaU3enu1qstMu6QNmcdBm3HVsKwjV0KG
rCKKpeeqZBXQIBrsM6ik65555zGmCxP7Srcwkbp4CeGV1+kfyhneR9b3fV87HBV0Me6jyQuXBA0o
59Z8G1oXsH8hUjIz6cAos7K2bhcQ2QFItJpCPCJFOJChsoJHxH8YyE3PF8DvWZ4DtNe+kXW3zLQp
vM2GcpzN/BtuQczSbAMUVStO4RAhyGtMtHXNiT6GgEEisfzmKq1d3EKaIRjPDxh/ayUWAU6DbQny
ZMUn1K85C5rLGpPcqhumBz/teCOz7wQsb2wKjvkK73ax9evyobdC7Z45e7VrPMJfHDUwX9lVgwsC
JZIVyCXDCMPZTeBs6uRVV0TA7J0dg+inRvtSayOPbybk9cDnrvcp9YKi6gaItKSp18ngBFtGnSOB
m8rkgY+kdeS4UHOrmj9U+gysDaW49cXGz7eOjaamEzf3+2fP0dNbByb4EdE7+aoHJC2NLWePvNv/
iPHar1oxFNg/LL2gE35oczCwuv+lhxOkUGukI6JJBSGXWPe3WudaSKGREV4CjTHEMgk6/WAHFE8D
yzZfPRCtp04XwzUG5YT+0TL3It5vYR8CL5NYrQkOHwLRkm/wDOuou51xj43d/0xrn/6KMnezrVtx
42ZhMvx93OjWIeCt1pfTEHvrAAH2wKNSRws94A6/JZucAMwWxiM3Pm/BPIv8azYOoH9FGnxAq6Nn
IyXuWvAh5NkFY7d2Lxw73kW4io7xEE/bXB+7J2k1ZMcUsUUsInZILDhHzq5baOINsH9uyKE53Sfx
OH4CrMp4TN0kua0cr8OfVJQ0KkV2CMbQx8XG0X4DWqF+dJkvnH3E4kMIJwh7JN3MbH4Oagnfg+Ap
kkqCgdNTMnfacN/1mdx1OekLzTMbTpM2gXnu7lcUkRrHJnedJ41JKrg4VTyZ0t+T+7YWdhOcKze2
8doEzMaVZnU23zNJDCUKqdpmxTPwHEwRTGkTSL9TVdtCExx4ej8alo7iZrFoazQq1FoQQovE8rOz
7znhFhqJWogu58CYjQ3wQg15tuQ3yN3ceDDtDgc3rhjznlZOO1hPFCwYF7YI9reW+czIAmbYq6x2
Yb2kBKI9EqUb28xBtkDLObcYsZdO6r3GhLfXwKFxnxP83wpGXhtFJPSDQwvBUyKN0ZIkH+pDO4w5
fMG+2peqq5mIi+lW82pOm9aQb5OKvwQSlJg5nMnayooA/4MZXKCEinNfI9S+FibDpZtxiFR6p9l9
4KwaaFYAmkEKYcsxArCPFFYMPrCvDsq00zbk/210h61VFvFtJvvgfiiN6GvSYM14oHDgIvcy2LaV
Xt8gzRrPMKDkfTv0AstXJbDzTwHZhTiK8rsg08KPobfjg0aj1auSAmslsErMBn1J6ZDOAfWT8pLp
EPQF1aAZzWq3Y2WwVkxKsEBz8GZVsxoVkGpLWLLhz7Y/bD7u18R35INF4Vh172bSbs4+aE8Thnkv
8vU8aFkHGVW+HZA9IB+4vNqVlwVYS6LWGKN9afAlXLWBhoDcWnWFEWCkvCRNeHrlf7N3JsuNI22W
fZfaIw3zsKgNJ3EQJZGatYFJoQjMcAAOBxx4+j5QV/+d9Vd3dde+NmGZaSmFRBLu33DvuRM81I3g
PjwJK4+IK3HahhxlsMVYjByc8EYTYIdrAtxrAn0sYSnKAScypjcAr5qXJrLVp01LBNChaa+d514y
A1O7LuWmkWF46qfEgWmPdoFdv/kJ+Wn8SOooP/jo/1/yeTDeLIh44daPJvcdJIA+Dv3IWDTCD2TP
jn9J3BBbppXoeO/m5bZFznqgok5vte2O+1aqea94CT+HIBlue2H4DwDxu11lBDdWL4L7DHbWsfdt
ZNKDyq+1a7jnCAdjgc8NLNYaZsG00gzzMLGXZBiLjgQel/nbGYHbh0rSb5Lf9UU1cGdWuu0qTmsb
S7n0h+gPbkgg5KrKdshZks3AeO2lCyP1OuY8OeDs+9ecyJQNsTPOmQmbOGagBi6FcP8kbgrPHFvv
taWcfUA4RIQSITW/ySGcuUHRttVA0J5myPvHOTHNLWbV8aWwnHwl8XreydjLH8TcOdupa2W9raym
v9Wxu0ARsbL5cKMvAwOAjdNkAsRhPjYPhJqVX+1ku5e0qvvdNCMBk6Ho7gdvLA4iaF+VqTOxjKGB
M2TIBrdaEOLeYRzbIXOaP1PSlFaWVua6IIYQQ1duv0Hyss8DIrRTCUb2DflI/BFnnPlkVMsDQO/h
OiVEg2fUYnd1n8zbWcb9WTFxf+yp8gjiKLFCz+Ajj47rAhKQfOQHyXkfINP5yLKu3sZzn31OBCsA
doxYplqs185hQLO2GrCv/0bCY25wgGO4IWhsG45YsrB9mywGix1OtfxcY2Z7KZmTHj3UFC/kb9Cg
pn5FJ4i8L1yMXFXqWA8B6WLHeEEyGEhKnhBQ2+cUzuQfd9T44onVtp9C6sk7s+LOg7cXO98hOjP0
vx0gbDOR+FsI9kj2Bh80a+uUgwEhvy/Uq2qLPtlgZ2tee920EX2Xth4Lb2qegs6Wn+wdma0EPxnv
6KfrN4kM4HPsTWQ6UcL5QmRPB+OA0+9l/kmIB7ENta/yAf7vCFiJP5Me3eLKU5nzNfi1/yLsal4X
QSA+iY1uNqSiBK8CtuIaL5O4TajUEGNxdvAD5dWmqMNylw2Be40MTm/L77w9r6S87yw5nIlH6j8V
G+aTNbTZStphvJUiK/eTcqBHoJq5lSEHhmCb+tYFZrZLisq4emXhrXNQjSsrWPcc8YIsMVF/s8VA
okdSdurtDX8elyStaVopCPcv4K0FMsBCZ38G0w13UGOmLZAQdBPxPDK+FvU0vRb0kBtiZry9DDID
9nc/JtQEbkxDbafSrXZUAd3tZA7pux1l1lPAthNftTXzMxhSXCexaGyMJKlf3Kr9Iwt8a9s2mOpP
gmmmP6zuCW3yDI6h2Jg3adWCMRwM48bX2VeRMNhCKbxSwfRZao+NAVfzeuzho45pbi7F2AuHjFhA
do9oyUlnUZlxSvI+5N3E+Et2uLcxfJxpCt50qsJrjx/hPnbi6tZEj2KsHJd8GmgIxcFjRX/CKu0f
IGHwcTAY+h3nqlO4A1NnuaaqXSF64B/spLmqJE+aMZ+0msJzlkzphqFHd2NFsfmFlCr5gq8Lz7LA
bMXXl+3JT03vPNBBgfNz+ms+BQ/TnFrw2qfxSngD2jjW26RKwGwmqCMidJyh1L1nm/fLTOjdBEOA
QbIZLQdVZp3fU9lhezA5r84omXymXdJblJepm8BHo/HE3zi7zN+QrDo6LV+QEJX+Kho7/0JpULrk
4hTxvZ1nWPbHQO57l1jCvHTAAUkT3Fg88VyWcQQjDtLHrie1BLKuEt3J7ZglEiBlswxLBnsnu0a+
55NjnnNQctgBUoMD3B28i4O45syqrATN2MYPqWU6Z7MxEEPEkQhOpMaROSKwOdvZJE+YH5pT5mbh
1bfKZlcjQ002Noqst0kO/T3DNdkjhpOUNCGC8m07wCZfzS5CscSdfkUzDACk0s56Tmzz25gT4O3x
HD/6nEwrP1C2y3VE/BPeu2KX5CrZdZ4530eS6VtqoyNbWXkVnsmqaS6zATN9pZYggNRw6r0PSOIT
NVdA/kiTP2PL4xTUQrbMG1FaNgyv4FkbjbynJ7Bf/HRyoUWbAzUXPGtHcpn1AsIK3BbaPTaenW08
h/0gV/k0gltF6Mi72ZDxlOtSX4LYLtftFBqHvvSboyFM1KpG3X6YGQUIsERC+Cr0PnMk97TrANyq
9n4wRb/rCjSA1qy5SPlXD6ciWfQkqow7p+Q6xUmQN9N6Ih566zopzzhg7RQiE0YFVbSdxcWDuMki
aOHF92frhRVxsiFXBsUFk6s5WQ9+nm2Dsi7ok8eseSokxfgOmZqeNnMw5PXOwGstTgMuW0ayjbD5
3DL8gO1eJMZrjQ/2GJppzuyZIrpYp4BKr/OUdtlJBH72mAbIEqlnDIa9s+ej+8/bTP3Jg2q+gZnq
fxT27F9DHQlrF9Sl0W7z3PfLnQf6gElIm0Z4jkt8LWuIxM4Vpi4l8hhlKLyKMGpelevkX4MB1Xgd
haNJMKckPvs4M+p/yty5fmudmIy5vG7vtVoYvonXygvZLTPjNhBXDw1qiqszuNU91827Z2UNueYs
tEEyRR+GcNJdM2nILNAojzK0q5dc5j3IuFC3O+Wn9hacTckgpT/wKsxb0oM09ngZAPsWkXjs+0Fv
0G3NT4wvvWPY2sGDM/mMGPIRjEaiZrCPiC/Db6YGvsd60o6KldmxOjC0xgBkBGO3Z4bczusuEfqN
eDkuCEao07mv3GC7iMOaQOE3q/3oqejj+jbpAJYXflds7DLQ59jmJtgDn0KHm81p/4XcTIp1OmmF
Y0BUC3m5NrxL2DiOXjXjVEbY+iYDrZrDpHYziJDMBMcRuLKnyX4o3ai/OJM9vzI4Hy845UhTi6xF
fOvKm142zrNTFPreaXoXEpVB7ojI7AnaipffSwX8byvG0P/omyJ9z7RfnnrDGh46wy4IjJyt1D21
oWbrYlklf6YoKqDWUGWt+8AY3uBXIwX2Ka53qadzPAKZvtdRx2o7cAu44AUvxEXk3Wysk8ZOvmMr
DQi5cC3rMYkZ9ALVNKvHPAtYsSJEZNnszx7XKWBOH6ONvdaV492hopLXNhHm1Sbt8n4yvDrHq5u1
77MOszt/zhGqDm3on03UfIxxapnXewS+1jNhi/YpI60d3FWbmemK2BTk0zi6kWhNRvwrIxHvE/Q3
szIyD+g9B7MdYTPPeNb9yaGNm7uhfOXTNgzrGuA7NX0t9b00nfjXaPTLAcdD5Fn8TwGww4Nj9fMZ
zklwTNMYMkJbyRNnOxeQjMxv6aou3USCm29sDOPZN7Lmov0uOGqyAm7dsR8Os5OqP1K5GaKBiLNz
DJcAgrbX+refx9WmK9WGHoKowR6A/x66QnAkrroiZVWUj64evKNh186KsAr1jQaZtJcZseZNU5r1
HpeErjc6qdpPqzFlukWkIq60SEy/m1qSDu6El5Dq7NfcBMHjbHf8ARl/J5OhfUt6YEY4YCbWHdhN
jWOPK3ureA0f61H2v7iBqpD4oDF6MmbLIXu16uxsCxb0QVWBvApRIDifOVtQkCvXBXPV9w+VE5Sn
xuKLrFiQpARz+sEnvc5bmVOFS46x2nIhD/Y5VOz+Y2D6+LgIfLsWaQujOo1yu3mMYzFfdMGKLaW4
uYUa7F9YbtWH0rTSKxacZo3az1vDraLVcEWHCQXHxpxiVKmwTh75sgQzeGt8aaskgdASb2k8FFuA
vfqTljm8UwE5zJOuvltCIqpCJWvSUsK1nUfT2Yc1/5iNDgkMxKqg44gep0wS4wtlmJuR0eWhlyTX
rCDTEldn45VzRn6vyA94eKam37glzzX2PjnuBtpXNjSKCYeRVfGhp2z/CDA5wK43oea5ju6uLgU9
nUDpGQSqKm65QevmSOQvcStTlMh34sW6W7arv0RXEIXT4I+4TzFinkesjBfNOIM0mpDckMKKE4TE
ivUN8P7gSC7JnlM1fhBZHS5JXwILl7L/NDhbwL6YC7TbEhKkF2N3cmQKMLYV9DQ7OSkjqF8d1CMU
nRElS8qEs7DsERAF2xYB7rl5YZ/aE1dpiW3aIsMh0C3cmIHpbMnTC8mOczyX2zSBYZ31ffVB6KI8
sztU29Kfwj+DrOVpNIqSWbAVvptBimFyUmVorAtziI6AnChkg5y9lTMrOhhEseMJSg2jnAppfcg2
h3Fv4302Hnx9srh64xAbqFBcZiQZauUCuq/2OOSioG2wDsj00avZ+aAiG5+yQLvfYpz0FxjE/qnV
kC1WfqGX8x9r4a0f5aRxzY7WH23B/nLFqZC8MCKlNJkrejxwWBzGgwoD9jBF73DRFH16Hg3T/Cod
qBrbsYkxyUC7DmnSIv8Qi8CE1+TAMOMOhpzXQGecvD7h5qoTcegkntYNQH6AdnlcTq/wrWz2Nmm0
s+2GO580g34b+6aI1yImY3RDGMt8VhnR0ZSodnHE4C6PiSY4Z+UVU/ArMvOMWZ7Jxm9VaMFthUso
NlZWNEEuwnGC66t3ip6PObcYKAiiP/CRKKe9jbTmr4FqkOxjCethXfmu9VwOHXsUuy5OeiCtZ9XH
hnFgyF4FGw9aOf9h5KFbxSqzn9nZOuVqZCEKYLj2vO8WPtpdwwb1wuVF7VJyXa4Wj4A84Oq1ig0+
Kf3GvBneA5iyp2TprshGR5yckAS2dtkPYukwi43OSvMcRoP9XbiYRInDiYiRKbp0jZhpiHfYK5p1
xHD4NFemdQTdou+Q9hE3Sk7AhugAQRZNZ2Ny8i2eLFK6jXy8uAaT0VSOdNfyDX90d0TDXB5Coza2
fWHJzTi1w28LQ+BZUU7cAUDh/JrRmQWBCaF7aHBDDvzTjC0LN72S5psJOhy6XFqci260t6I303Dd
6kGS++71bymexks3DPWtKNqQNTrBma4doyxHLfurbMhFSJqwu63QNt9DS8m7dZON2UaV4/xLJg46
dCsK0K2LcU+9zpgYW5G3+29t0GLgmJ6m5ve//svnd8W2JpN9l/3q/51yFYcuEtD/uzbo/juT6ef/
4Uv+TRQU/IWYFGVY6Jsh/NzFBfw/RUGh9dcigXWJRYXRZ7oLkOLfREE2SF1EsBH3hQmWAn3QP0RB
VvAXKhrL52vQ1TiOF/2XREH+Pxuw0eOEVuj4phM6SIwWZdLfNafZ4LdA1ni8kJyjZGDxiewDp7hJ
w9yl2y6QEZ54K4aL4hEmZJdVfGv5dbmLS92eijyHKKnNiirLyQiKQ4uhVrbdB4reGA/dDUTo7qwt
CIyrSPR6mwD8snAmjN2RQUv7NmdeyZ5IlAcOinRfFTlleTVgvJEq3UPSq+8zN3D7VZv0Q7TxHIqu
NQGIBHKzpCZM2na7rj7YYemeMp3RiauGqI1YOcZ5zDv6L7OAH72qWD3/Rh2E6z8cregrizrALuYY
noWXZ0eBTJzkzGJGiOc5/iumS5skYYyyKH7Zm7I/J0UWTBbG6g3tW/7C7up9nM3snHXZE8FDMwKC
ajh47OY+6QnTk2u36TXuev/Rn93ybGa5faOJVccdR8BPNtXEREyGgW3VPCBbLXeJqOdtxEu3ZVXA
KrOl3zDrdITEs1y8UXgOhS5PdrLsLCQeg6TxVsQgZtc49PJDjdJj67Eb+SApyWeQPxMnM5sGIVHk
DA/4sxDaHKmpcKpQ8SLfkYpWGtogJjdjMR+seNGWpJjSWpSJmuRP+IlB+Gwls/ngT3BCooEozUNY
Zzb62XzxZsE47JZYV/kpmKu3hxGXyclPEpvoHvY19yKsBAgO4hHwA3foHE5jY5XOusBwSZJI4IK4
nJuEPeWQsBMl04JBWz259VFqma+xplSLyCVsYfwy4852viudDZA1klbYztxlg5F/MCO1dwiP6ps6
N8TyKw0lTUYUPi910tbrQ01gXTXc9wSo8FZGAyZNV4dev7IB+T2GlkgZYGaO/aq8kXllY3XYK+CL
XSKA8Pe+7Q4Vl1ssaBmDcg88kghl1FPTa0/e21frZflFYjHdOkaa0Gtn4OVuR36lYadKaiNvKjsK
aNgoV5qmcN8Hhbn3i0TvKq8ibyQuBrFvm2AJHip7Qmge8e7h/h+HXWCkL2LEuy+KabhTPa+xJYP8
XQetevAEcT6ey0Q47Or7XluQqCdqOKXnS9GWzhlVGi+Z0Yk1JNr2zKzPqW5Kz+t5qum/b8aOCGwq
EwOlc0PuAXGXES0eKUra27iwIX4Hefze4wS9pfmoz2Mb6UPSjHkOHzYAlwfO8FbgmzzWs0QojcMj
vs+lRIYN1L8+MWvs4p09WhnADzMLLiTRyBdCEdMeD2IZnGVkdW+sUYh1tjoQ9asgFD4CjVjpA8Q6
qQ6k67KnNullpg/X5E16lCFVv/Rq8V3iA6EdtFrfb1DQDhNjDatVmfXKQFeDdMsDD4FIMjDuEQ6A
5l8YUuPodgkuzDfe5GS8FaKIVqMKwgqMG99+TXcyPadIPTdk3lSvlq1d9GUia+FNF0uMTu+pfMdm
C+0JRzSpgYGnytcs0+ONijqsahz2L6qNxlvL6eUdnXr9XHYeAZuJDQVwRa1kfgegLyDaxOW5Q3S+
G1Ij3g19jnKBdFDnHu729IVqxHovO12ug6739pqniBO2SXYhs5KnMbMtID7m7IGiKSF8fydDLy6z
68e/c0NO+yJQ83c36mFb2ybf2IozEhVLYOMs1RPHk0+oFBZUWSDDZN3T/ugraoVg2AaS1JldADTC
JbmcJDn2ltB2MnpJfx/bCLsXvGxFaFAVNPahUo4CrGhnI+HaRTI/5cq1kXmlLjZRxKGkxzBhWljK
Xp0M61BGxVl7wuB6wbnckIpSkxFmuSu7icXNFIl5bUaLtatM7lGxlbcdm3ssZFpr5muwFghm5Xkd
ZYM2J58lQ2xScCatqzN6m/HZy9qEPVxEXM7s2s2Hoiz1sbjxSKzkCM1hE6h2UZkZ4bxrf5J38PyS
wlP8JPLAX55+mW6bAy4rpugLDgp9WpNnGEEQoKBjmpAwIn0MQCqQ6jNNhFVmnrswvUV5lUFA9Yo9
MkhPse+kmIQVxSs3mKiz+wC792msILwcICwjYGno/88Ahce94/k8BVC+T2Iqka3HSN5XqIX0mpEx
JLgx7a+BVv1Olp352fbz1SVdysEnHatHUxcugk2Dqcmmz7sA8QrbKawLc+F/dgkg1A3cGf+1U56C
m+YTsLMvYKekW9X6BDnKdJnFmwKUtDmN029qSvPZs/rxsYcAXGzEMPUMic3o1PIMr7Rhu1dLtu6r
ISmxObDdI9wick7yLkGpOp1ntH96zSxvRO1U3M7kkdk9DyyCzHL+rkqBaEM5xJ/yI0rfu8vSShrr
ircyWbWghSdG5gRx3aDKdP5QOE1q1xhhNV2cxEyfEU0My3c3wxNjXT+5yRzhPKO64LxD5tQ3x1ZE
PXOBqu3vjUCVuGMHO3ptyqjaW4yIIPBgcnX2iCDhS8ZGjNnBT6nXVlXVYTqUkHeR8bh5Xt1L/P79
Nhxk+b4Yv++7HI0kXCnFRqEbppoaItLYr4NSvbcV0RvKno2NSGL0VQn7x0fQyMbn4sSx155iTQQ6
kgm8aRKQQc9qtwzI2cne81u3xzglLnbv0+tptg9K/pZlajqbKhmTEOty5AZ7MSHZWHWKkKB1SHMh
16mZcmAzijYkqppqxB5gNvMae66PDd6zmm+sD16BpXUQR5kucyR3bH+FplnumxZrpnKJL1gzJ6D1
7m3Dk2tupnnb4Btf7Opm8g6qtrv1yN95JdQGdYA5kVg2WOI5HFumIqXM4LgT5OidAKrm27wacsXg
oP42aWa4yuLubWbldujagvd8UL6600UDayE1q34ViwJgg8qZmpQ+cqRdzQLyIc/mmUc+ZpK5Kp2c
VjVvW/WeKUYYmPwiy9olnj2+TWmFIqIorDzBt+UmJwOO8rPSfvpblYxbacnGUmyFErO1zuaaj94y
NiNkvkNgwwaVZXorXYK2LAcGNKPdaj0oFb8MbQcL0km7mw4G+wpsabM2qont8ZTeUJDuC7PA/97l
TPRJNGmQos1gMgvNxs0J2VmMVe1uTXbJ6SarCvk6ZhEps0mv19z7nCdg8e1jQoDFvk/K5lYMyfjU
xuEIsJbxIMAY/R6B4yJ+tTPbr6SrULzMaepAXVwyeYctab/zO8ir30MWd1BdGffI2EZQhhIVvqM7
hSBulfBRk8UVc98CsfLNNKX24pHqzDco+Np8TVtByuqsHe/BGfzwMGcSPYfTlYDAkr4prdUYKbvl
oK2LrwZofrueOSA2o7uMRfwwNXAAo47cd1wX65474EB/3lxFlI0vca+XdKTSHm+AGq8UC+YT8Tap
wSA0T6c9qrFQr7q6ZtjFnJ7euyjZfnktP7QTFNVXYFEk2FnhMqkbCuN35xqgx0PgCS+xDrsLJ5Bp
r5XpNES0ktX5AO4mQpRkJUgAAwK98EB3j6blI6mP/QK8wzixJvIhcRDB2eT49CnQpvcw1M0v9EU8
HUFft9GJB4/CMCN09DPylXxiNOzcshuxHyptyWcoEkWzdRpF5IOT+BP3bALFfciM6Ma1hd7z6RnT
XZWa6tvtpyjbizmLTtgAl62kCOCM5h0jYU5cpx42OeRzFMMYy8uygjEADTt5w8zhryc+KggDGfKz
hxROj7Ma2uUnsBF1tJAanUfkg0iCwqUEA6lGPVAx7qU4IPESOfOESTua5O0U+x0Zk8TsIUZjDR/d
pLVb/eaQyD/zcQzOZWjmzgZwZb3lNWOfNoQouYbeSpeBC2jCDWPdF8mI6MTD6q6zbDTWQ+NYRwsE
ywrcPKpDT5EIaaFnSAOkVyw9IhLpLRSJKVqrKXnOkzL6TqKGR7tL/eJLIwm57Rovwr2VhbqCHNdZ
X45iZ6RNsAEZcijWRfSN7J6brbD1icU4OaRzkUPDTlGR53P9wGIsJ/YQR8U6kuUCcRH5YSS/DdW5
0X5GJWY3ESrvg7TH+UuXbVXiv5qS88TK4KuxBcH0ukweFWOoN+YvJiPghP4v4A65g7/DwgtnCfJJ
zF89uk4MYfYOGWG9Rr+LpY7HYqurkcW6SXITgMB1XT9ODuoyIP7zdAGQEK6xGuMRUaTpnKakLiuY
H335IlOmOJopfbqAeuaUsEOZfvtOQ7EoYtQAXlDd1J0z48qr6vSU9JF68C3yzFE2Iw/1hvKR86K9
TRx+DSojq6B0IWSkH7lwp3kanuzRODI1pKOyyvcg57TVkZs8tmJ+/tv44//HxYrwkzkCW2piSHEu
/VOUW+N5RHItWmKo3viv8U0MrMN8tPaTg72vjFAs/+d/4z9bm/zIxyPlBUQZmVHgL4OUv88wQoe3
kq3YjErPyi/NOPd3rOmB0xOmc8zmEhVWrdPNf/6XLpb0v5PrUHaaRK4FYRTyflvOP/mE7cwScxwU
+mZME7wW0dg/JDGudMfEYEC0KaDFaQIlB8Xg98/f/N82vf/HKM7yaUZsaKJ/e6P+Q8LVMf0EVfG5
fIR+/8z3Dt//+i9/+8p/TOUij5026JOf0Vv4Dwt66PzlOIzrfkZrToCX7X/N5Ly/7DAIl0+0E7os
lf/3TM62/oqgREV8BIkn8Xzf/S/N5Cy+0z99tBjG2WGIEZ6Njf+Div2bMRvucI7UZ5pvMLnMHOLK
5JkGHgv8UP5U76YXM6L6qemJzoVS08iCtM5k6kj6kJJumjaxHR5Hc4xAeHu9t+tLozqHS/NgLW0E
Sw9IGhaGrZwyLyJ9hYYjVaI+8QNVm2ppR7jx/fE8eeGob/2la2l+Ghjvp5mJfhqbBUOWnrqfhidf
eh+37r2J3cjSEnk/7RF+a1olhkNU04joKXkYTsMnDTGn7M2o9gagtXF+HZTX7tvJCEjE0PUb3T3S
OxVb6ptfDsEFMNBy5SeOegroFtANGzE1/VhZ8c3o0butjdFf6i2w74z+/QHditMGYpehoMWPt0TA
Zv2SBsuekWTYJFhSYu0idnA1/aTH5iEq131OBWju3Tmvkft1LmMLWksfBFJaGx9CxRGJUtDmb0Us
8s+2UtmtBHBpYuYhXP2k7cCc2UpRn6/ZhJKKW3QdCbliCctFdqveS7sYXdwjhOnSIzh/UndJ2DX6
prnFUTed9TiwSOy9CCMAW2YqZa/Rxd5aAnuN2YCiDmvrl0OiPCnpOUfPdmpH441GbDI2RDJIceMS
yPCADDtGaecmjHNnOSBJicVQPgmEgGheerNHkQ8TWKxlGVp/6DaikmRrroY56OHoK6ONoBMFc37D
Ip2hCHpWxpF5UKClV7ERnVB0kP7eULbYnWwfmomghHTouj0gt/aaYqonoCTzAGPPeTVumDmF28Kr
mk/0SfoOnjnmzgkZKHT0oDgSCGxvgYSzsdE4pmQWApadJyTbPYONnfCsaZeyA30l+GQ6m8h399Ir
5ItuRPaKKR3SrLPkRIdmGMKA6udHC/MFmZ8U526vB/aWEaQt6DIEGXnZGqVwcSZpgTEY3+sG8rfc
xBYDRCl7gg9cnBmJ5EcaZzZEk8GGzVAJWbFxFx8tNL17u2IjR8pxfeOZafXSWS5h2qHz7KOWw8IO
zl4yDm+HpdDlkx9VGcv2cYQ5yk73kKX8pqMinyULM3lq4478GFDszxByGlA6Sh/JmoCUHMzDujV9
xpX+BOfQqlxef4AyyQNA1fni2EO4meocVQiuvJvGZsC6SYVX/wlHt7+AIrI3ufKsxzkZ5xeKZn9f
BgAPd2POmAc0bVO/AFqyX12RNy/sQNUflXb5S2B5B+A2au8WfG/8GdBmJLbYh8mu2vfWruSlXpLD
xyiGEIj4JnpEOWGu67TM4B5UCi9HxJlCXCZQze3oTDOITd/+HGfCelekbLnPtt0m9+5QFptuHKov
NBMBri7H/8hThuTpT+b54MvhSuZpvJ8IoT1kFLnfgYwjlOA/mem94U33+U+SOmvO5g+MYot0+HB8
cgim/JMG49hs0C+Vz3NrBpep0g+BQB2+AoJA5hnDwZHf0yADrcS1/e6QCW3cKLKewZeVZXzH/a9Y
ADrFNdZZ8rtKWaDCLNYown6i4yVH897xl0D5fMmWJ/wNJayMHCLnJer2J/oljMtKYeCcSy+5dlVS
f/ooFn7bg2LFK5YMe9QNg71GuMIm1mJU7THityiVCb3XiLM37G0gRWWx3pI3Dq7R5zPQgeXYIc8k
AMCN3e4IV7ptkJN01D21hSAdPRARE6SMqIcQN+i4IjGLWGXfc2nze1teAWkz0RSaPegAMvsxR0G2
9X2nPZjI8E+A6uJrUrrue4zI91ibc/xhjGhIm0rfEs6MgbPBgHiJOr+o9mLELD3ImakfgV/qgFoB
ub5lTDZJNZNz6xchxiiyDjMagSi9Lzwd3eFYx7KZzwapQKJ058voy2TcEz0D0dEk5DwdEu/Dzo0R
71sSnKwwNS9OnY8ko0f+LRI8RraFqhgNqpQor0JH9xVaqv0gtHdkk2R0y5AeFmVpjhn7W4BTxi7M
2gw0CP7QM4+CjaxIigvU6+Rk94N/JBqv+tSyjT4N/Oc3LXuhRZzsdN9W3wc7zdr6abAyeLRuHWxD
oEkIw7rmVxIn42fU5AjgGK32UHUNUDFEIqAz86ESkRvclwHqyfoPu/QOmRzVxl4ZvbMbWseYNrYn
ESLGWtzmI1BWJtS8okyo01UwYs/rCcc7pOlQXFiaGEwzzRCXaKYRbuNSj1oi/zheVqhZKmuVjsP4
aQDL1oBMwE+lONb+LJmU6p7UzBRvTegWgHKroD7HzLh2tcqmC76CfIEtye5Si6CK8HFGElJlHqCD
xRd9i+uz5fIa/OKOATGBCimBhCnsvRIVS25/B9UIDsyw1UjQkeNgQ/WmcREuDOazH5TZC3d2ka27
rOmJUI/E8FF7hncq0VzeRL4XPUdpR7oYvOMa5iPx6OvCVsapzMCmHzLEIk9O3ZIp1/YyP82tYbqn
tJ6cV9GYRBBprztkkk0AltZaHAc5tifcF/ZVs8w7ulFasCMy4XyHCTsnMY8Pcy15QeCV1Gyi+v7V
i1rxJyU15dVEAXxT9m1Npl1YbvI5rK9R3LqwmB3kN5Mv/dfe7lJFh+Uw2/US18NU1jX+OUvT7I6I
8+JVEPJ7pmBr3Ruo7YB8WxmVt9GkwvdoplvWmf9mumVzg2dYb2yDNUOWuOCOQT0+GXhLDzgD4LRE
TiMB72OtfM79XpG2Tnd7k3qgT+rEHF9sjk7UInbX4Pu1om2KKY9Bz2zrva3J2iXuTh2Iwgi3dt/6
zIEMthfYqJkt59laZOPwMdl45VZMWIhTZ+TyHi66HtTgTrjvYjNkraTIPGstc/gdezLaKg0lgMJo
azb4iyxHksTahPtx5OOv+sI7WX34RN5KdzNGw6MVDM1r55bdzeB2iytpAGmL/d4zF3Oz4Gwqk/IR
8an52urFrhoP857GltAvy7Gyqz1Hgz6i+o7ytUAdiaHRsd23SPbTV0NwQ7aaONUxbTLc7bh+2POS
77UQIRJgN+R3lIFc8zbjUYvxHy2LT6gx/4O9M1uO20qX7hPBgXkDESfORRVqHlicSd0gKInEPG3M
ePp/gXJ3i7QtH0f8l31pSxTJKtQevsxcWaEZhJaLMEmgu6KcO9Y1ZmstFZ9jzifVLUbfK5BoL2is
d6kaiMtcUnAXEddGKWfevGtNysM0mM8+i2GhvJZWpt7RSGVs43Rk6y0CuWZabRJA7oy73sSbFMdr
AIOLkv7UU52p6jFTe/yKtIguBlfFYpSH9FpqIBJwQQeX2mlK7PnaWWSRdkbH9ReVVPtrvyqiY0K3
5zpRSB3QHMoeS+5OD2lgrnrhdX6hr2mBiM/agHUsqLI+WQH+tTJE9qA5yYnD4kJynXmwOosZxdTg
ZPR0Bkv2gY6I5qENpO149L4EDxVrHTvYaN2Uotdjz2g5Ja61Kk8RpBTHVRaW7vJ0ysk9U60VXgLR
QCsgCDbCCR2HaU9eu3qqbc0mgW2P8BkFjAB6YW2GSYV1zWKH/JNVavjMB1hdGzRQcoRWmAjymclv
xTQEFORajH35OSlsmkoHP7wSvrl2l8GbJm6Hh4zz5i6f8+ULJtRujbKFT29bZo2+Nmqjxl+QlkbO
qjlqiteC1VEXwfv4fXofxTfzVN58H9CjqzCshwWpvCj0ct/m78P8Zp7rl/OEf5pn/UycSPQyTstP
WMCWFSaQZlm/iwMjsv6VA6TpuSY/0qzCH0JCzkQRw3xF5sJ6Fxvcd+FB64aeUoY8rI0tCUDEiWLW
KfxZsfDfxYtO+C6FvoJHFY2kmmvbUqD0XpmPpMYY/D8iuhIVbGZFxB17xINYD6L74l0yyd7lEzMm
81VLk3hK+S6w+GojGEQKB8dginQU0hk+CzLpuzjjhNrEpjdLNkCyb/jMkI4xMrIqUCk4a7D6H5qw
28o2yw8D9pJHliXrxoYcDb3Vd+lgRjIaRqLjnKamR7DsQiF7EQ1MI2edSb5LTixJyE//HZH8X9xK
eIV0BtoMyP7asHSal+JWfpiP/PvLfoxHXBPYnqHiCTItnaHLf0xLrv7b7EpyiRSYOgSCjwMSBnDU
62imphtUfmMlqn8vAodkhMXI4l9Ew4TTZ/+TAYn+3grx0+zNUW2WEw3EFuFzVWNI8nHgR9QgLxWi
09tYAg8dQzUBpQamrOGmxe6gB3hxhrsE6/OGCwamzHAa7jOm67e5FlGrx9FPqZzphvLS4SD0vrup
O/Nay2kJTjDKw9ExI7bOQmXaWgcwLqT/YOpOdmoSZUcQAv20ddoDTbA3So7hFrQETFKF6aaFN2ip
d+kldmLHWaTA8bgP2COn9Ko114AC3MkrLUjhXO0dShQho0z9WJ5kbDKitKpRXeJMxHSq+ly9y0Rs
lRyY4tat3eE2bbPwiXv3a0K7n/CCxqgkRcHxl0iPv/aANbeRaZ7jHMoDreIAnRyWxtowa9g24xtW
oMwz27w6D5hcCHD62Q2jeFwhVJON5MDmaQo12hHF3pPstSX5Oo4RYfTUDbG9wHKAfE6clF+Io9Wi
5x6ralwWY+Eij6tzUkjPtGXNI0KassnKG7WPv/dWTdrC9/0lQZqUXgYVzoJTq18yjYq3Re3nHfF1
4tQom8Ftx7rVGL1y27Uive5SCgHAvVOIVJq+es1kmepPM+jDFKqJRjGlJud/U+9VtK+5mYKirxBn
PDeI8RqfgrJuGPY0pBAkQ3eFwMs2Bb2vYJZMsakPaROv/UnnTGoONZBZ4tpNtw4d5htdUbfzEc+X
u5qdksj6COOkaixoDiEpKtvrrNFG1xIq+nE8w/sXJmydb3ZlDA95PlCA4Li1wAAhqgpcR5Y1LqOE
0b3g/klsNjszkEtGlBYH8X5ySZNpcfTU1LY8TU1jliuNIzBWL803sXrnGS6MHh1UNin5+xJEinDz
7soyjVq7BpZCuw5wPgVh1hSpWPWmxunflVrf32AH8MMt54m22vOEGQEtvEEwebWo9LNCleFbUUbZ
gXN3EKyasZTlBl9gzXtOUSuQv4SUaA9mvF/avXuNrWlHgxvwaERdxOVkxWmBxIJjEHQVIliZxhm/
41Nai8sQp6rHTAB4VyS3IfG5hSXVU1oiTXKCuumM7qtfmrdtbq9GzRzPkYsknyVz/XjFNdP3gAPu
7PBkZwyEcuGy4wXTspEFb5neWx5J8mwXqIlxiUZDeeVx9sjVLGCEXPQmUrx8cK5VtSrXBbxeuiPV
NQVvpcev+mZM11nT4UzhazStfMqADFzXqrorbTwbvZTggkKuPjrVkV6RKN/NKE1u3ZIWa1upLw54
xnpW1qoex0NngTsCN0zu0QjvMqMLN0kiYo6kRrCtRABu2CZt5o4KJMesqJcj9IQV5ErlxcRpsuD8
OeRFuJoMjsNdKWbTPjiuqjA8YSJ6L2PXKBhR5cXsJLS/uGNwixkzYoCkt5veT0s+MvE6Menj1QzR
MHPwxbfJnOqV1MYVY4X6qOuQZwzf2dGT4+86S9yy9J0CECgLg0ncPomcdZNZRFzTFDVbt7n9yk1W
Ou0Gj+v3VAQEm2ysIUQiwUUhDuI1Wpu1Q0Ck015RvpKvAAneftqd/kRP0u2PUosDXoPJv42mhKTk
4CCY//yneXheYpuEme1uyZQTXMpifeHSvkxrC1aeqxAH2BxeaC0I1VVSn9RiiJ6CuOBwN3SU0pBM
7kPWycbmU0enl3shYtKCLBgSSa1sROE3cxcifvDokvGhkLn2rRt9Ps+4ADmWiXK+tyOoMs4dixay
zVDKbp9oYRtuwgB33U5qFotFXvqHboy7bm29rybK+8pSva8y9bzgDNkQKru2GYW+5XPZQaWer1kt
BLC1Q5HkTRMrowAAo2LnriqWKeAX33S/LBbAHNZA/dtj6tfr3lWNdYvhbGHE3VE1yURYag7UMwkP
hh9jvtAzzCO6G3oZHadLneTBomuNG0powJqxnB3t3Lc2FdACz+3Ai2tFBKdqoLAhz/X9fLx/1Zwi
v5cdeRH8DynPKlgh5qOJ1tI01BVuu7QZWG+gq8wOJzWWPN1wEgpmq1qc3EZjrfUHbpUZ/W49QFUL
4/4Ag3CpVoClXJe4c1i508X2IaDXanaOChkjimrmhfkr2rDjB/kziwIet0pMa6tAXRPABiLe0Cq+
6srW+U4LWbuK8vhaUhSFvonJm1bpWDvhq07OmRtxvm1ko8b4KTJAJRmmgUM4gPOHB6NsRBea3xyC
MBtNSZuLr+gUmYog+OZXeMC4oFftl5EhFTJ4p1/5Vqte45hOvULTvpqpTycuOQvi5xaN33omL2mI
fzay9A3IvXGjVdqe3Y4AXat0ByfA3G8PsiKchiZNT1/EtI9ZxkihmfWERDyseOUe04Dt30wi7p4B
hayKE1IgXmp3cG+KJc7OLdPDmH2OkclgfA9UjbRXpXyrjDiH921qGwqK93RGe6EWMyPTDnXmP/og
MJhV7Yqu/0r/8SIoXGbwmILHtrXWw9R+z0Lco0llvBZm4J4Ig9PTIlS5dmjg2RZa82I5db0nNUjL
LN1630fX7fdYRerrrIC+VIMAXMQl6IMsS5xN19UET4RFcarxvTPnaAbD5yWgLMfLtCg6mLFCW2sW
bPCkaGe8FicujyP1Eq1O0TfjMENoFDc05cxPQYTvLFypdkkgM+/SpcubnZh9vGqc0uOUsC7KujlN
2HY9xO5xI8wSA9Og38rAH4DcaLT5ZTrxDG20OXxo9jkYhHadkE68YElcUWsX7ZTGQQPpVWZTfi6i
ve1iLVro3LNe0Z66ld5q5VvS4cJi+y7WZjsVHrd4fUGckz+NrMBjZhNvqn6I2WFbfXwe8GMT9R5G
HeGiJd/aEb97AjvSPFSNias8j+IYlnzEABl4WwiNK2i4N+tDXW4U2YbBirqz7ODPe7Scd+vkfeMu
3zdx+31DJ3BHM6nzvtF375v+9H4AKNEQoYW8HwyQOzkk2PN5ASGn+e9t64d2/HeC9I9rE/LtX9+2
zi/BS/pZjv731/1+3UJa5i5jC5Prk46yzM3pR0bEndVo3TZdeJyoy+rcn/cvPdr+jfk4yREX97mq
wyT5z3XL+g3vFZR0m1i9xT8p/tF1y52vUx+uWxbJAPiMru4ShsLs8HH/nRwkTva1bDdGBh4n8RJw
jaFSSWbnkBnfMUpby4MWeA+21faoolI2lTqkLwMIm1PMx20x1M4mtkiohWV/yQ2CUWbu3Adm5nqp
dMWwaLFi0TQVLvvE7K47aWWLXjek15dteluHicL5B23RCc3nuOPAX9unsZ6oyLKiVSjI+Dedf93C
zrbRf1dqwnXAiP37IfSdtWTFplvPOtLeY7+IiEh1B3arLnRgQ447ndjaafrmxsLggzQs/EDm8k6/
xsBfLvTYYWDnEOHk9mV4VVbiHdQENCOJxdPtr6vQ3PIOfu+Js/VlRkxLW421fhNlgNRkGSxhki3b
Qn8jBD/sldCnhxT+wLSh0uo24rW9KtC11h3omc0gonssT5wv+2Nr8WK6TWkc45FfOTKSM+r6Zm6a
WORldTKslouUWmSbaCCtq4+0rjwgPZHrqFhvoWTuTS1Mz6PSPEBb89KK0KXpjVVmVszA87cGy6fn
2vGaGSu0ndl4Ht9VbrALSxpFYIFzqi1LrhM0gCtTvFXG9hpZuVsFDP/vkbSsHUa2VQnlzSM/uRrn
lnFiCcEWOlZ4S1wYXDXHe4sjTVCb6XoYZuYbJbJXliHxec6n5RE/+3IMlHjjgAVckkWxdro7jXeA
QW+MpOLCoBlm64HoHW/VlMMGt8+m3NBuEVwN9olY0j2WG7piYzu/QH3FvtpxqFW5M8VgCxP7MUjH
czrzHJp2MCm3YBgq6x3kC/iqwWMf9PJAine0xoi3qj5L2bwl+a2K1ZMU9nwd4QC4HNFGVo22IpJN
GTcX4Yp6nqU/zHWVenUeO/VIcpZRssgXjuMg34y7oVbv/exBTwmelmGmeITD+d7xrlIVWllL9V5H
WwckD28eFoJer2mwZN8ioLSpOL3mlvZiwsahes59S2P3NPuniEDshV9dDCSmLo+5mOg3cgq1506q
fA1Y4pUJ0+HWtfM1fj2ESH1kHzYyqVzRxWpdNPxRa+rkwWcZjvWtZDBxaGQSMbkcLfuS4g3ek9IF
YWdK58WSVbh06c04KJrrEDKS7S4lmPoYI3tg5QcNeKRRTyVqEcjtKGRwVwu80Dyq9c4o1PGZ+R9Y
jqovLqFN1lWAo/iSjD5RdBNVNCVSwb5OL1hoF+4BP7C9xtHYrxtNC3aEpgdKSc3sDvLScOeUWbuP
USDvsYfXa6BVkvbY0pUvjU+DS0WQ4Gz2rnVyLbM8Jp3TX2ttbpyRytt9o0rtWYvTdiUAPiDkIXJW
wKJ2Esbh1SSL8NUAUshZNBvl95IyK3SJjlcdnkZ0ikviHJafNoeUBjhtCRBEveAXVW96o6vOmq9r
xywpwvuRN+uEeUIeeVTE0SD9ccRO06C9ykhbzuWwG42UzxnzcuCF86Aifp9Z/LTL/MmtyVA/Jvvm
W5Orm4ZgF3CQzrCtfFy1k4Rki1HTyMyJIT2Xpiy6XVx39ZkcT+61vjp4JZcQxA8NDaNPJuieBJbh
BXKDb9p7u6uVdWqMFZ+CGCxiU8O1BpKrrgEx4Dg3o+C58VuGDFERWBc7V+NDwzFezOd5MA3TpbSp
lzF9Jz2NQcobVWHbR99cSNMFljR0eKy1mpvBaN1JGYaLlkjJld0GtN/1Y+vflX2vKxs0RCAdtZgq
DKU5/zCZrdDFJSHKcZNPIVzEGsGIbq0sCOMVINfiWdFo+2Iwz+XFmrT8HqO88wwSZ1+nc3Ov7ty0
QtnkETad0bDnIbq1rBpBQlRNbfimnBSNwNyO83Wp5d5UDs2Rg9OtL4WzLAtEd4jmTODxxk5U460S
DSOxoVCsRh/3SNtMdsDy3x18WVCfw8c/ikZrjbNn3ZOd45QnRyqOs2JRzRe8sLP6fd71zAcDdGI6
aK1zMQIurlwtRWTlYlhOoN3KNsjO7dSLDRo1jxJWHSbpqq0e+9ISx7GN6yMKiIvmSEIiVAP9GER2
dU4sV70pyJRewsRA43KjrjnwXg/HvLSjEyde96QBV8asydXkuwjyzmSSY4SvpDTy5SD9YS3nT8o4
f2ac+dNDf0S7IgBNPIlyICCUg3GGuDRcl1UE+kLN2Z/DuiPpzVaZ27J+qWAqQ1l0zXqdzJ9gd/4s
gy0Y7nBR5ndAf4eTpbH7lB09t6Aj7XU0rwjj1NuHEsA148h8fg4q59aZ15BoXk2meV2h55hb57zW
WPOq08zrzzSvRNG8JsEbUneJoyFfBzZL1tDI7FE6U7uLk8zdleC6DmnThricbeclTvXxQDy+3GO6
EBfAByyMLn/7wAHE/mYLh55mVNh1V0b2hb+tXLUE1LhAj1BZIgK9y7Ed0a+ZSGJqryeXE0rCzLxe
O26Cj163gDCvBW6O2INIYGdLDYbVuM3MMOvOuYiJpVqVhUItXGradHewXIYFrh/PEbugfERok2T4
raQksp8T3N+iMnbBUUehJPoInQDoZuN0LdC3fKThropchoKYu8yFQ/V64Ln4u4NVNll4VQaLnOhS
mnY2a0lxsXGqxrgySCWcnGCwrrkqa+vUNRgjxaZ2U0+SFIkx4Y7eVDZU+JXCJbZf+nGBMY6GwK/E
B0jnOW7KbJTOvlBZtVnKCaiLp5YcG8vmE6MQHGVQWTTWljGOXR4x7spHaTT6TQI+rCrzCroT8KEp
jnviE2NJKCXH8uWo61g09013tCejWgW+ionDLU8m1DNmJIq/5IwKaFRGc8c50QTNH3E3ugHhkqKE
7G1ScYL57EtJhdR6jPtvWk59AL4j5s9AeHy16s9Fw2fUruXXSHxNK8Xdj7ofsd6g6HYN24BR4IKI
hbqB4nFNTvsmLgTE5NS5aH7vb8NM2MsgkyrJKlMcGnvAdVX4lFJHxp58zQ3Fzux5kWYcFfb/lTqV
31Ia2ub3CB/RWDKOCvsL2/n9pJXRm2X24Q7GJGPitJgOcdL0tNIUzYPmqKMXa9X4BuaJZxCHGhzz
+se443308b6n/Nd4/Hf3PJAZzBz/+pJ3fElgAHzvX1/LD7Laj6/7cckT5m/IYtzKhG0QuKcK5F+X
PKH/pqoayzTNMf9CBPx+ydO034QKB8DFS29w05trSn7X1JzfdFvTdP7EJQLC/PUfgQA+FbHP/nmO
CCAqNJsuElVzP50WGK75oTRy07P7bO9m9cbtnfTIU/yloWoODUP1Ehvzbizbje8AmeC2+kDsSD0W
dfdk9PFzW8oz6ZKRgqGu3TZVc8HAI5b8FpFXtArbMS6WpbTSp8ahrVN1kyd8TYwfx73BHZdyNuJT
faks9T6++und+JPD0EdD9fsvxw1Ws2bIASEL89MvF6splpixMD0UJ49R7Trx33JZXlRbLP/ZdzJ5
Jy3A2xzeWNNNd44q/DSqDlgNBUqP6XFYAqCas0IrRzD1nlYG3q+/lTHHGn66lhObZWLAYNy0DZpd
7M+FQ9DO+kzpKzQOu/vGlUAsRZY/NuNsI3S1nd8hqqV2l3hqZaN4wGFdUgTWLaiUDzeYXZstBY8b
LM7P/K27PM9OiqVPnmXJp0DpD4UtXvTQM62SO71dfJXQ8palEWKiyavjiHjFBSXq176hUl/Rctqn
p5nLVzKsTDXqvdAfX+xueq6q6Av2Gi7XiWr9zcv9foj99Bo4rkWPnM3YxCJ18vH19i0R4pFTXEQf
ZxPSdKllRNOYgK7LgnLb4qnM7BcFb7weklmNfNBFXfY9VcIfmYy/rLl5/0YffxBCaFDbhUqcEfD9
px9kJG0eZAEFhBwl8Di+K36KeHKCWnrQcL6lbcLMk4IAZADZTneFNV5jexcbg6IV6BT6tdHK27lR
eLCqjRmIlykOvmSjtsY3evPrJ0efIzg//7BkZBwWIXjAKnlMlpCPr1qONK0kzUDpjTpRcEJWUaj9
HY6V20qxT2UT3dUt8WTX3k4Dx+FKfVDCgVOFiSMZlVpOsddp00I0FKFOabgMbfuuL6X5Y674ly/q
H95dfk5iGjqNJ3yULFa6jz+nFVSwDiOheF2U3pZOXK37jFMqA1YAku2h9hktZXGvLky7gQUqpy9d
Nd2OmVy1nDV//aJ9Dhl9+lmcT7Em1SY3BRzU93zG7AM6FIe6hUq6jswKrvG/+3bva9Kn9wgaNU+T
yTsl9Pfr3U8riQAZ7BBdcj2jmehICtCAnEZ6bdbzVJi3lNroa2fMCjiC2L+quS0EnubOVMMvYqSa
NY79ehWQ0acwNX/C9gYzxF1ncX03IWMeKJFLiVe4w9q3omvyky2pcdLmxnR0mtrcxjYXO2qKKgLO
OnfEQlv1QXvg0knSIreyFarlkcNRsPaJTnLCquttw3lkhRaCDSJDouBybqwaY7r8+o34uJiTKeOh
sHXVttmrNEamnx4KCKoclhreiGkyMeEG67g8D7EDIf/062/0Jx8Tkmwo1ipJIfZf69O2YU02+pjP
Z9qIxQFt8JWBDEZsB21hcg0Q53X4GA891X3TrmnHG+CNz76T1Rih/S/SdxA/6u+BoKpJTbYy1e+a
BhZOkW5+/XOaf3w0P/6c8/z2p0dFhagf6AQa4FPbxxE9qEZ5XtJq9eSzQS8wKKA0lh1JayWsF+mQ
nySVFvRsAwGcsnwJtVU5w1VRVsNQGVsjjrqTrGUGrrdPtjSw+qAPbXM/wb58aInTLMuqOXcF4y6z
bBlsAOPE9VviUXX5xjbDYi+cRmSUytQXSo/7hZB6tir0pt3kZvE4NPGLH5azkNqPCGztg041AunL
sHvLSvSdwcc46XOxOuBlmdaYWR5+/Zr98SHitGOZnHrYpskOfvo0J43LccPIXS+w/HPD5dJqOkas
mEBLff3rb/WHOJew388cAkeUYRLLIFP289szxDD2aqNwvQ6Y/L5tp8cpKo1DKcfgIey5laVVxdx6
PNXBG5P1HmtpzdzZZYPtm0J60wij34gteQHZ9jc/3Py9P64yAksWn1oilHyaPh/70rjTMovgE/PV
dD/i6LYUjNX3f/MKfD6p8Ao4JDN1Crs0oemzaeznV0DqSdAyhA+oD6HmaRDDdrSixAPut5misPDG
ur3pg7J8SSvrPu7Ha6s2VrFKT5kw83ZVTRlRGhnlcEmGC3Xc4ZHeFWqAaSX4mwPFn/2kNvE+a34s
dFi0H3/ShhQHFG20V8cuWFWijHLUbEE5OFxvWAlQm8VaVf2Do/8uov3lZvfR5MCyJhxOMVQHCnoU
gH99WmwYxzRTERSAVUrxADqLJQbQlUugNNdvoMtDwq/+ZkvT/ux7YquYBSZ2WMP69L64aK+mYDrk
0W2/yfSZr8iwal+aAiNwxNE+o+s36e6ROGjSsF/0SQ9BZXyFohYsQ6Uozs6Qv8XCoEZNLKP47tfP
jfmHcwpMCmQnDriCEjI+RR/fjUGpNHrWGwWPTutFsdz4lr/2ccPgmQsp0ML/TF6x2fSDTqM8RU2T
/YVsxbBubP9ZVhOmeNu8weTyFofE8AcVslKB7T2JLr2dIJT3bFVQSt2y+Gaz364EJraO/pldwR9P
pdnv48SoFhnpsFlrXSdW/Tpi8W5H81mrA/w/+bqTCXVp0HE6g1THr18B8XGIy1OBH4FrCzMM4s1U
OH46VuZRxFAK0K5Xd+JOz6zryaHrNofcWeJeW6Yz4gSk+akcgnSp+fwfwl+L2RS3aoL6ppH9jQmc
Yqky81xi718OumSDF5jNEKJFxVQxc+sejQVlom4aDEos3hXFhlhPNFSz5CgC6hwi339xLGKoduDc
dob7rOnRicGVBwh7J+kh6PDMe70K5ZsasO/QqkuobtVZtpHX8YNqanaVpsNxiONjQgKPFgvrpWsa
TyFztYjzftM09qlQkg0sERog3USQlLGntYnTfzUw6ikoC1uoPTpckw3eqCXDOsQaYgw2tV/wHWHC
fsOIdVWkT2JyV1Hz+jdvBc/ah5WSSC4FJypmRqLt5ueVocUwQyjA4DymL6sJUYiU0bYi+0DF4Pt3
+v89Ztm8FueX7LX+n/kf/laUIx+6sPnfj/9Z//jv4LWYk9If/mP1bii+bl/lePMKH5ov/bFYzX/z
//qHv4es/26AwngD1yeb8F/PUE7RVMiX7MP85N9f9rtObvyGoKGTFJ3vLCxWv4vk9IkLHX/5bA0z
MInxIfmXSG7yFTYUG5zHqsWO/5/5yRzaxlTG6JvbGl9r/yNP8vv97qfHw7FMky2OCCObPYMG7dOB
AhrIhBM467bMzoEgJXlJLLnKNjKGySZrd4dE8RxD9SIU0b7qvk23iwWi9aeX7PLj+/1cQoz6//Ex
ff85dDZaS3BiZeH8tI3QZKbQP+p30OXqFLgZXZpGsgaohXUsDA8mGWvAw1l0biMqrUeLiwudg6c4
HEAsSuOurcS51knPPEzR2cBUZsRDuYychjQwydjeFtCdy2DR42th6b1m2L3RfMLKjAlUT23v+zo+
jla/GvwcBlB9GUCW94m/18GkgKchgpU9mllwpcSQaGMruaMlhDXMCF7YimgDEO08bugGhGfYr6s5
D+21zjSalIM91XV5Z4wD85txGwfGpXdrLmBmgkjMrN0wgKnahOCCYlLXnIkpYLOP5P+0Na0Py1Fn
gSkwSxnYuR5xa9/Qb36LGW5fBySlDLFHfl3GyZyIqG6HwXp2SOwtxiE5s322+I47a0k3LcWCVvTo
FhnlWNPeHqzXIsSAo35R0Htnp2fQiJO05I3taxu9KVbaoHg9cdcFzBtqo1wdiQDT7Jh+BVT4PaoM
m3oCNPg8sd/QvmnfsvRwl01Gtq2gIHmDmA6N1p8U1FZPBEwyekKlmBluszTYSfWmZs5mqwhZk9nf
VqSGQI6uYW/EvFp4sZEBVpHtQXnZV7FxnzlOBaKEIF99W+XDW5c5s1T9PNXmYixVl/RgSVg9WnNI
O+iVYbFzsk34xaoR7j2P1yKx1lyc8DtrkMqHpltRbnKm3enJL6dDZxs3EmsyVoD2XsO0qmnfiyw7
12p3aHGS452nfmagakVrLGMldVJ+fuoB9/0SG3TT4eJf4B55EjyaVWjfg5VXF75KVcsMxIT05BU1
ZzJdVVZZ3HxTG85mvuoTyps7ljgjav3S6riZZdqdmT0KKaerOOmTx25ClUvMax9X6MYhmLigKa3f
MSVhOJYcBLcBu8q3FHY/2a3/mijFaZyuSuu+pgCFkc5c51mq18BNKVHsp10ZxI+mlvfbtuMWHocX
eCDHbqi8wEbrs4wrk0ilU56ESpJShtaiMMfiaM5lFC3Sb2uHlwb+34ouli0XB5N6HhheUW4l+Fwu
1KCAKcyW0t3VuUGTr10uWA4uUYTLAlfbYzkxwEvsr2ADVnGfg79SNInyrEHeDJIZ+kkr04D/34m+
WqmzrpILrFkmrNp1lsGZK8w17MAHYqTbDniWbAC1TZMN3YuCMiXd8GgITw31DBkfVbzTVNqYO/tc
tNo+1DFQ6tN91FFkULXiOeJcS1GdtYL5vyT0RfJsuBJ6vdHnOuPJEQe63lYMHr/ZnYlMEs8fJ/3K
VSG44qm/ihD+hsT9QmHGLmqt70Wi7eJquuaACsNKL+iVSXOuomo/Dx3idSEGfM4yvmFL5Dbuq1eB
AVYt1y6S+ni1VnnlcVUHKmTqMjoB/+092zeAelKeao50Ayi2dYHoeQ2nr1qMeXlHQdymC32YRlao
YTIpv0J188zRfsiIN9j8Dw+D7TqFO8BhsDgUobwXk7zy8+a5pbF1G2qIiMQRH6Z+vCV5HniDexpE
cwAEt+gyeacq7hWq1XOTkmomktYW/lEdQcaNySOk7mzTlPwenGdGpVjBlVtNIqLH2VRuXIeXJ9Oq
FcrnvqFOYNkmxP0qsyCMIGS8FU6/61Vnq+vGZpLlm5HAC2rjF4cUObArf5eXIVVqcFQBiJcDxEzn
Fd/Yw0DVA7qduaooPON0U6Lrc3bMDPRs+im3zuS+6Bh85ugqz1+jblJKeqDkK/d6YRyHeqxXfMLO
9N4/Vm7+dRSiWpnZrH9mVEkl5BD5HC7Cpn/uXP+SK3jFe+eods15wlS2qGOBhVgmJxIguykwX6tA
oSpABqmnRfWRi9+W7Mgp6Xo6W2ymt8wqaL7LGEKBeFuGMrBoq/ZXUDgPfPR2DX6PVWsqF4mMzGIR
gPyPlZM5U5qiIPoui3KDFfsGk2fNyxxc1ykZb8HzIB1eyWQlbXFqXWNXTOa+r/tVKvc2rNJEOMC7
iJiqo7+3refWSLD21Bwz5YZqhoXo82VVsAjBZV83ob8pMYuXxRf4wbiQxWMntd1AAUgDprivm23f
lQzOc0+DqLvEdLdTIzKkSQw6TtxWfu9hD92O0bkqmscxCwmIpFuXJ91JtSeOclfcabbJ5BKldTdR
48Mzr/3tpISTN3Tyzvbps09a6pzMIdnb8tFxpWel7cLuDWY0+rZP26MmjsMEV9DMIlI98lqZjNM4
sHIhSi9cCJ4LxRIXawhfy/EQACEvhHoV0jLcTWfVstfx7GNTjbeGLsCV0cbwyLUD57dl10dvkZ5/
DwPzyrCbM9U/2ygJ7sBKUlBK6YYl3ScHc1bcvjUW7XfkRecxVG3Js1UNfAiLJz4iD9Vo7UX6pXMS
PH/5FzxiQBnjY6u2VyK2l0Zhsbz44Yk53eOkddeSUKTohzME2+VYQlO0si9ZoKTeqJhfwf+foQRv
i2E8iSDKmHbSfetq28yg9lVrX9qpfaIvdYUrbQtH8BvVZl8xDB5C5UQJ/CIfdMyGBSD9sDzVNi6t
FPhq7Cz66FbP9gaLQth7JstyS0dXky2x0KyaIdv0xmmKnR2NjVeqG71iJEeXp7YZagNPc7MhuA6t
mIxZop6KQPgAssB4mcm1zO1lT4kPNOxlGBBOyJrn8JSnR72+j02aYyplXdbxucSuqPV1sTC66EFE
wlqQO1gRJV32/4+9M1luJDmz9av06u5CFvNgd9WYQYAEZzK5CWMmKz0iPGaP+env5yjJpEq1pCuz
3rRZr7QoMUECCPd/OOc72X2wbMo+2OfTeKgK9eVG0ylJJSRZ3sDWPrsFDFt/yo8R7Aeh6KZRJfiB
/9pO7feo6eNt57psbobk1WtAS3oQQ9dTVrxMlu8+YFqy1uATwpVlmhQ2FXkd1UDwmNFCX8jXsrNR
OLvePcaFbyKbcTL0b2rI98asMDq77Wsra9AR2kLWbuGGrX172KPMxlnwPIBb7Dl4JXNUxyse0QSA
cVT72fK2wcCWUNwOoxeRcjado4iveoz/afyZJyDV0oeuiW7GIroHqgKO+MZI5w2W4/X0OC3JrlK7
xC8vTVwRFG23qASThPsj3Rpm/9hzFWmbxyob90v0IgL7DU34I3QTzoNwn4pnmcp953iHPnWRnoS7
uu3PINAfBov0E75ACl9M+mEg45wa5sVV761m7Hns2/zRPuPcguzXTDdTpADaNf7PCCMEz+ZciRvd
3mZtdYgjGom62aXdObVmpKfhs09PHrrdZ0p/b5pRv8G8DEWJ+oGYjjfZkccxN6/NQlgqxpHePkWQ
PMFO4DykJJ0Ib2oK/8kqngdvKxCrjITYSMRUceDDHyyKF2Hiai8HYOhRUJwh1OnSUi2IDUt5W4d+
8cPwkmhbiqU6xrHTUkO2UfdOaGOFmB11Aij3fj3k3fyzBPJ+H2VmeIslb/gaxgrmpYzMvedl9A6L
Hw9E9xK2EnoTCwMP01yZJw+hU/gnsxH4kTjsi0Nk1/IVaUW4JVwtelwGh3fS6JKPgmr4kJNiEawy
w7O2HWSqmyzCCQUIVbKDc4BbTXl6tIJZHILWNX/jJcMfQb4s343CNw+FN3f72Mysp8pvcbIHoruE
ydzemGVWnAh0bp/o96iPKcym1QCO76EpyCYP+Y3XRkTfT9bXiP9R1adqcLVSkXRKNEfccQtZp/Fs
hUfRkL1EUnwe7fsKxW6Jn2/LXVOvJy8iDSaq1a1dBvFN3vbqJuqDga2SQes1tcByg8qvbzs3gJZv
z+RBk127AvmVPVXMb17N1px/1KQXnjKGXTsB6/PiAn7/Njl48DM4GS80Ojw/oRLF9zDzexJ+HQ8H
95BkYHc67xmaQvIYOeb8oMaovrPG1nscXHg/bRUlEH1fB3JDVDi0+2jppse4stwXw3Vncq1SNh1A
FcfdRHTpxgWb+NAOQX83pgs6NC7Mj8RLA3TAfXiyABh/x9xR3hNY0d2DFFaXvLeyI0gkzJwe8Z+R
gHKSwGbcWXMp9hh4uhXwQ+TZA9ZwB20l3MSs2EeJqPfIQTlV5AxQKRExmSY5VlXLSbw32PzJeuJ4
+sgAGtzVJJMd3CywTsaCtcRfSkwWeUpk78eU9OssBZUwdPl8se2Zm7Qu5uFJ8c2cESyoudhXFVHu
fbP88PIMYc4Ie21Tx8NzbPgvYblc/EaSFpsfXK84kj4KTwuBk9ul5EhOpybNtmkNIMNDfGuYodi4
BlHP4BBKM3gHOQT8PzPXveV++TmXmZ19uoTAzxWJb0LuurLYllRuXAwu+cNwKiP/LhSuuS/j9m2y
q2e7dI8pZI4ccbRrkSaTOfzGPdL2O9tsXy0LtymcpfcFWuxqFikVZeE/D+7wEhvWpZ7RxBucRJCo
zvNkHEU4X8JUDMfaIjnaM2wo9yXaASgilzkkzcF2ySfMym3UJLdNOqpdlVGU455bERnIELTblcqw
N/UW2yw0HjClChpJuEqjcAeE7KcOpPrnww7Iu38YdoQuO39c6h69pocC34x+Gbr4YUbF5Pnjwc/f
aPMRSk/9dJlGNkugzGYkfNrsXInlgfMpeRxT33u2CJq7tJDSAFH75fAeSuBTDPb0VaOfGoCd0Z2n
n6REP1NSP12Nfs6s6xOnn72K0MSn0SkZoGB9uu31MxrqpxVE13KT6yc4vj7MQNbVTZ9L40bEPOuz
fupD/fy3UYUAr1iaW6av0X6EpgSGTmDNJN17BuDUxvd47KGe6rPF0qfMos8bEXPymECCYE2MznPg
zZxLlqI+F0nSPZlZpZ7MShXsJ/z2Bgpld4E86uyAY1lPtt63xPr0AzG6fPf0iUhIovWbrU/Jdu5S
lP8Vw/AmQbGoD9Nen6tGKqCZXw/bHhbEYZZh8lHW1Bnwn6JHN8NLkQDFeR2chIZhHDm+zQTRZjOP
CfK4yvoRR8a0LZpo7dQZl/z1EiAE09qP+mZQ+o6I9W1R6XsjSyO86vouafWtwjynerX0TWNcLx0+
zeookCBvCYkrMO9xOyl9T8VBnhwJLIKhzB2W6NvM4lpD84G5KlzU8sWQ8KQBj+2qgZz/OmovVni1
Zc1pbr/NXsBQq9C+rTGaiEmcnTDb1YIBlOS7ue39AV9+QQFnp6BqyZO7C1Re3iUAf7Z2bSd39cA3
DxopsFrXOPiG1km7eK8/3cLrq0MFHJrmpuqsnfLMoN2k3fUVnZY+PyhCQIFTTOYWX6YySaAvVfl9
VWb+J/GG9qnIOCT2UNnoV/HLUikUnVGOqwBs3nfHrB8GB7bqpjZtr9klMVz9lm5h3TeGZOBV+GS5
dWCCTHiC26EB0Ue3eRgN91tbMsrpidvapwt15cLXd8brwmUzbcGTPAMGe847wl8MAlU2kAeKOxIN
4KHTsP9GE/NmhMS2OuSUblXtvgwppedg2NhwgDVzwhJ2BI8/fwxH3ziDE5ZbLnpwe6ZMnwMTL5AP
zulGa0hSK3sm6SM5ZU0kD+igFXp580aQw7ctB6QnO39ijc1YTm4Gx/9ILRbrKHt/AjeSuESXhKpY
9lvbms8t9QdAA/7v4Ggx1gXDu9db5FSwbtmV/gTSqq3sfYN6YWMNsFUQbO/DpOrXeTkaq8RsvB3D
VMYqZvsJgvOBupAkEh+UNdXHS11Nr8Qal0+jUdOOhXmyd/t+CFeChO1zEtTJJpeAVrp5rrfY9q29
k/n1LiR1bhW6g9oNNs9aFTLXBAdGBya0S2ZSHyPU/iPrjfQdTvmHZ8HQK7y63cPt6/ZF5LAEW/Ke
r1WK87zA5ksqMuL8Gur4TDjU2qyZL3aZB4eZ7CtKi9qknb+HLBGC4KNiQqqUkf4IxrkCzL2NZrrW
WPcDKhqe+TnvKByPEFzETu6LCv3yREJqfLTrCJIO1+5tFQdfVq2KZ2kbC98CDhSSqb/oYn5mjv+c
FL61ngj8WNmGcO/qqgba5PPe5VHypSDEQMUALSAbRfwhFAdWTul3AjDfx/wbmXq3qEj4RtjYwcrg
frGA/cyy/Omr5XG2Kp9SuIfWlXe5szLQzWxpOsSdau1h42R6HWPSeAwkSK+rym2fBkzlL6zVFN2r
9QOih4NHPHsJ2vxgtRxcBpB2OuOa2DdhJWcROKc5GPEYOTxfU8slURmUAwyk74bYwx1MwmIDXmKo
joltkLw1iuU9C3WTKXT89IQ/FLdbgGMh64aFCHIJxT1ykzUUH2Ptegy9gi6rP+GeO0cBrv2UjETR
552rLnEVdPdoR8p7Lzam7zHnz8mym+AAx777GHRt1egqy9H11nitvHQNZhtdcDTGCv7ntTrjxHVf
Ql2ytbp463nHrxfvf/eC6jb90Vaq+tn9cSV1XTP9dV/1P2iNBQoH6c0/XmH9p1J/XGD9/gN/Xl75
fzIRCIIbZi3jowymmPl9fxVGf7rqDTioiZdgTcZ/+cv+KvgTtlBsDwFqJ3RggHP+ov+1tZ6Y9KEQ
SQVqAbZO/47Jk63/L7XUlZ3tIVvFP+DyWr9oASpYmSbgTecQJwTJMYE3EmvbW7FDFGzVX4F8S34f
pjE3E3rlsKROnbuArRCLnHVyvclIiuZWW/QFB72Cu8653nuT0cdMBvSdyCCK69Oy3N9mq2NDAcYm
vXEZTeUcnDy0rjZi+ziyM23NdtPSfqBNxq5tY9xGoVCeJzLUj0rbuqk7n0Jt9OYdnPemNn9XSIxu
MxXsFL7wTBvEqSBvgoLrVVvHodqwCJtJm7G1sXxpw2oXzDifXG07x1A5E8Ed3cZ4Je4GQ4m9u1Dq
aLv6bMPVyIzBXy8mMroKVzvnLBhJfO6lNrxLbX3vtAm+n+L5mNVV97Boi7wkqfYrakgKyWdL3ZQ4
6QNtqTcDzPWZttmPEa8Zpv5veNisu66ZvhZtyjcnFFRuhjKrCSAnL8xjkqPByr3Dz49O69Q1+dnF
5w/b8QYY6x4LBNLEABYAOyp0udABcigB6ooL8OcD6QEV4mrnWUQgBXQO2NbTmIFCAwcaTR5IaMe7
IHj3M/OcaThBGGwYgrbrtJ+abaQBBqFGGTBualc2dINCYw7m1AXjx3CWweS9bPV8Y9FYBFcUTBpr
9/s8cj5i/zcfFhaol7mHrJa3bv9RKBvKQgWsmdGQzwwnm/gXSCHbl9bo/mhbnMR534QXKBbBiVX/
/JNCEACxm6LKqNS0nGRdjOc2kRdTWyXcFioJ0WLcA9pLUWhXhZfm3VetLRdGaDxaDIZkz3zOEhZ8
l8VonYutXRsz9g2pfRyjvzxSBzzIwNwbYuQOKtLxCGE/JXy4A62Eu9i+jxCSbFJv/kH68rTjAvhA
Az3cqsA/0jvhCh1sJR+DoGdaVTfZCQblsGr8cOdk9bgt6dJpacv51MngYhmu94hcQ1nnIIixw5hX
a0wJdxjYmyuLHiyL9tAY+SiMbXD11mQDf+wmr6klULn0EXV1nxb51r16cySMGP5gI8McGmLGAU9b
qAEdrUPmdO7Dh1z3Q2MS+mVOrdgqSKiCyi9JdQQKF/wGuPbYs5qytJvIKJNpVV5dRobLHPLQA83s
1olNqNoqk25as06FxaUHyUR1IsUMMTCRmseIZwjL4c5LwP4eyLtu5xOW1HwEK+FhhhJl24ZPhd14
1VF6uVH9rGWKeoPFbMQToJI8Ip3FyHxqm7ikSiUSSWzp1imYxWB61T5x/Jk9r4eRbtvZZprs4sII
1VdFQmCxriwCQll1zRVoDEyZHyYBHW8l7sKbiKyt+1a0IRaa2EqpqclDY/Jmj+CV7IGKZu1nE2Ww
B5ySwCiZ82YFEuPu4G4x2IoXSctCLRryKJD/zfC+LJ5UJrrfRuCM7iZNQP/D6E4tCUAyK+A+wjUJ
tzCHlLhLZMmn75KCtxfDZHdbO5ZtjkA/ZCY/C6PO9kWfBNbRbwA+/Whao093USAbubYLsknRsVvL
J3rLlCTRnjlOCU6Iso0X7Gu56ZAi8IfWSQD5M55ab9Wg0cQ+dOMbtv3BKoVRcsQ4cSz1ci9Ppua2
rxSlVRIujGYmf0HvY6y9hKUw/OlneofnpJveQ2DTG1U2hKV4Y7NbkGY+OBli8J6c9Z0oy+4JnQZ2
9kGF34TdtMnK6dzlwzKXr5G16qY1+/I1NtpNHZUbQ2U6FhA7os+/SxHWYa8AkMjWvzh37SCdPR0I
7+jAzmfNtpaAKcKBm8vc5tYWUXrc78VYd/amCmQ7bu2yzMcTp/br0LlTgFO16Z6yIsidxzhvCIXN
kZBspl75J8UABQEEZqnp0cvBsh2IUMPxbuYyecoDK/ky/JzY6jEtVLIJQcE/t8QpDR+ICzropRZb
+V0yAJwl2Av9QSoJXBun71OSxeHK57tMBA+GQwbV9bJDIgEwdVLDfdfN6cU1SrEenGm6DZ0eeFcP
GTTxs4fQN3vSvZbyxVjM4GxE+fRNTV79UBssDyBpRtEz66v5AbJqkd8PUVV9L9H1HXq5jDg+isBY
jX1YfPpEvT2QzAV7xu6iy9QVg+5bsvC7sMP+LU9l1mxa/Buo6Jw+luu4c8KfYb4053rux59xMoxI
DqMqyJ+VgbVEBcbcruFNJMmWCLMs/5mGPqFsmZGYd3IYfPLALf+tGHHyp0NqB7uI1Wl+RkGONhgM
9RaOXftciQYigpJjydQhrH4OgTG+j43dg9F0ExbwXtFWKyvrgB+n09JcjCp1bkWuSC/I5e9Y3KbA
tzqFkjVN5fpbAc+bGBgydd+DSjgQBkDl7TOS5AACWZKAZ6MdHnxph8/kKORnXL+pdWq7OHjJ4TZ9
LEjqz+nMqYrcbRbv/mCw5J8soMD5nE+31UxgS2gHBN+NkbO1hGedSN7ujoNrw1AWrig3HsRjgzMC
rvMubNuCdCRj1trnaFEvU2IZd3HZIiKYhGrYwol8aW8LI2XLsIiiJMwAogB8eDMq172Jcnqb5Jgy
AOWTa7k4jvIe2mzI33HQ8qWroJQOWzLsY1SaaL+zG8jhDpOluO9iMsZtoz2Yrsn91wjat4fBs435
4vlxYj8YpHbBNYK+ORCW7JAippwAhil4Ai4AtozsCgpDsiZMQ0uOe9FGnjinMGEh2JXj8GBhhRQ3
br14uI5ZARZbE4MtpmhVPUbVVBPpnAGKeASg5NWvcYFipmD3mgFgWGFmM7el5JGPkoTNjeUPtxLV
535kXfMcT4X/kFG5iHURc+7TaTNKdRfngEcEr7qd2gfus+LiLHlxCAOWMYPLbBPFYpVvjEwtZxW7
YbcqlWOcUkfxKdR5UxNxoYb2B4ALguqnGcxX75h3aiZBOW3jR1S9MA9xkG87H4GvymtmglbfMG9J
iSpSDctfNRrmyqx98UwDB5OH6qbkE66mI8HPTX0m/CGUexAtWXTwp4hx6QLSycEVm7jdvY0zFxRs
4NziO3Je3JE4rH2eGqDFkJlyLBed7+O+JWnuaISx8zJb9Hq7ap5h6UGL7p8mJxvrozWHEuXFIr64
5jgs43b02E2MCYQ5EHvxVhuUPmtWJQzvzfx+cav7JrCmvSKrku67RuRRLt4ZKEnIVtA7NQv6G7Jl
nwnYlBYxVzFZ7N7yyYWRPbH4yr/qvh72jWwsnDeOIY9W18Z4rCAafglBIlVVMRkQ0NUP+UAWxq6e
EvgXborqDdeu4yIpCMx+lTpcBPtxomy/9ZIu2sN8tkEKTtNykS4wrKabqx+1mn9012lVZ6XQx5H+
Msnqr1MtKy9IfPyb5uy/EMtpW8RfJXuh+2vHQ2/1t6p0Z+oJuKq66ehWedOtHE+1N2Vu/EsV83/x
MlgOMW+iDUS9+MuQGtVRWYHcHo/B1GoDpRAZK+/GDf7Fn/NHMbf+c/Tni2wdFATWhl+H4VZk2B0y
4v649GX/mekb3u8WOgIxM51aT6ief8sHmFsrtyvs8F+8uq3frT++m5aFlyCASBTQ3f76ZxKVJY26
dbojk6l6l+hCAGIqeEBdHAyjyh/CxkFBjQjqm5yrCXrp9D6Y0fNCdeFeywxEUbkuPEqfun+Z7qeA
uEDfaSbM+KaAnpUteoJpjGl+UW3LUVUFCyhtkmdIi4vO//zr8fd/EJ2wGdCym5ZWYf8iPl8cNyEs
uK91Fp4C0ChTAb8LWjq+bn+IuONFHjrHf/dFHTTGrmURyk3nb/7ynWzjWLjAiRQvKpazgw5fsvZH
D3OTBnPz+c9fTLf0f/zIeDHWJvyB/Euuq0cCf+MbEpFjlzm+g+O4kI7gtfbXJI1dYU7dv/ir/v5J
c3SeErpddPz4DH4xKNmFsgiSTEukXYXdXVyLNRq1v+X1h3/+F/3itdEPgXZW00VSJtqm9ysqUkjC
DLzFy4+da4GU6SkpSBJOxJmVOY4taTto0oDv0+eh/lcXOfaOS0CGh8KHkq+/Vn+1NYhN1/bxcpiu
9SEaRWrFf/6r/t17gnmbrxYeP4u3xXN++XoJYN1dW4XpEfEBuEcgm939VEGNvfu3XwfnuPd7mrzH
qPGPH7LfJKoRok+OZUwzANbJLonSjvP85vo6/zsU/BfadieyeW7+8VCQDepn+7eq9t9/4PehYBj+
yeEby1iMWMc/gLbDaw5ZgK+ZPR/+bh039tehoKetVJEe1iE4j3iu/wLadqECYO6lkDL1TPDfgwKE
vlaL//WECIiPIZTWYhzn6QvF9H45IRpMW6qMCpKFYst9znQ4RT8n5c0UBApl38S6uSm+JbIgzAJX
9LeUUdvZdom8IMJK516UOgIjqVz5hgMnvSvZ599aEZqH47R0SbRS1wyNtPX9N3vR4REIWf1zTI4y
iEsdvyGj2d8LHcmB+L76uTAif0sWEDUr/FvdxQ+M6Z7ter6KFNEeZEXJHTpI+2bCtvrYw6k+uToM
hNEbN0dUdkcxzMG0sWzDeTP8xXZPtQ4TyTTihJrXLZH3xKSNcJAYJ4IesPB7LvIzPM4M/0hPACpX
Zc2+0MElfkSESXNNM8mMEIp0E8ypjiSF+3VNPukdwb/tVJO5dhARKNIGFvsr0o8fQjLCUwimJtJx
8CVyyAwDdaZjVsxr4goqDLaR1xyWxHfQ59U6qJwqa36IdGQLzV55W15zXMxrpos9eOS7CB31YlFe
PsbX/BfCU0aKQk+rMI14QNZpzM1dcs2NaRD/okO85skIHS2jgGcSiETcTH9Nnim59VZop1kmsvg4
UyJ5xwxu1YJskDVaEVDw2r2H72kiygy1PGOUxNMMo9xtD9k1AadC5AvpvDP5dJM+QhGzhEX6oZIM
oJDO0Jk7s94p/JpPXmUGu8Eha2fucqZJmaK/70lC+VFLa/xm6XweJiPixFiievB1eg+JoO2t9GTm
rZOZne/Oq80MI+s19ke6mVBrxILeTU886yHXCUFtQ4Zog0MDSnxF5Arj4ODs6lQhr+sYURImh+mB
zCHLJyu0SEhNK0qPsYbm7B4qO2MVeI0swrxmEl/kkWQE9iO5YIAgKiiQYXfrtaFz9prARiFkEIQU
x1V/7K/xSKVOSgqvoUmWEWUPqWD5j5l8mM7xqJ4KnbMU6cQlQ7ruN1A//onWOz8Iu7V5myorwlTF
G7XygjLEezswO1uXzLsV/wjdOIRjWFkMHEbG3CEZ1kfFvGleOT6h5Ok8tI9Gha8qBGenQ5E2Xt18
1HWBr92vCmSng/HauC1rxai6Mafe2AV9DPdrdi8d2a4Tm4wdJFok9637FrP4Zl+OFqQKWh9iUQL6
KRy/8qL5YRltc1f47VODHDlKFRnbDuFrUd9hXYMTsbjjpWDgEni1u7YyMM34r3ZV6vcFoN2C+p9q
mhD60bZlCXYRlWHqTiSaVkSLTuYcIGzLeu+m9Zv1aDpU1m5BfglSpeJM5qi/5TEcXphxlbdI8Wh9
sCLsc1SZ/QOSjliQ0pSj+V1MA927MKbwoycBsFx1YUeW8dSJ5IcsORM3nCY2KjVz6aKbEItysofU
EFXEKubGxJ5j5JfkhzxzVTkCnP/kjL1xHr2uhWYZBvKLmWu/Q/AE49nPPL4W3bTHdevuzcE1mZI3
1tGClLQeRtPcF0LrccUSxy8Bb+2679gpg/dirsA6t0WqOBJ3Y+aCbK+s60EYZctt56XmU4jG6iO0
Gt9hHtkOp8K2q6MTxPI+tsN4hzYk/VmnY4wZW3oI/pfOnHfjDK4jBVI3rRbcKavSGfpvtZubOE9Q
HK6GRaaHOU7pwyopMibqgX3LJJ/1sCTOOGpE++7ajBfjdm43CJfFrmD1AWiyHMA1Wi2qs16ygaHj
QT4fBHvV02vx/qt7UsX7AUmI238XU5lvqcQPiyA6SMr53Jkyf29toU4Cc06/SOOJXlQeszKUjzN6
gouvzOViGwjdQ5Kj75vyXKfdkbHIfA9WLNXBz8MLm6php+qxBLoGmvK4yNq4M1Vp1idgf/MFakV+
pkvPSAjsI+vGZQlNxmP3LTCkfG3SvrrlbZYPhVzcj84r6dOb1sQR1eRDfBFJP58BkFAc2mJRCJo7
ZzuGHX4PL7Rvk2IpoerFPUjGiLiIeSHtfRk8HKjDcmoNspVXEZ370zLKfJcvxfIUL0QOrONCSDTb
EwaOeuoupMSzxIJS6rNiWWr4y1n2RZZaf7SGng+pMLz0KXcF3zL92gGcqfsOztxOFAwlbav2fxD6
Oe99gNr1NixsOMtlXvar3Jq6iYsURg1uG5yxxEXuh5Hrvm6bnZVZ/m5e5PiIjgVRT4dYaA/bUh7h
c4p97CYYw2JQkEbZLy8dHIzz4pic71bQ2DcENjQ9gYCOBZ7f+VKzCYgGzOB3LwlBFRAAU6MiHuAC
wv4wwZA3LYJ0IB+3dqhm5lKcrV5SfDqqTPkay+wuc7F3OjVWsVW8ALQm5jiSH4SepURhkqtjbElU
rh4CpGK0NE0KZMWmeGPapUlzqvVfVYOZecqsr7avqmWfxsqAhpM7F1Br4regh7Fesmov4V1MKDyV
66LRRgu09XPHfs3aYHyG0Tt+xnBaOXRRZAYrkhBYTASZV78EgPN/yx3mSb3DSKpIUlYGaFW/JRke
7EOLPuHSMZDaIv/cTYI8rrDyspul9ob3KBbfI6EOPFrhqQmjbAtUmsbZIAigsZ7Mhc95zqrxZm7i
O+b8zcrMmmwd9hiRyqye7SfwJ9I49AgsThOioaehlDER4r29z8qoO4YJVP+VByvve50V8AVRnFmz
3R7t2oAEn3GZrtgyZKQ1ZPmmBH39QOQR3rsZak+CsHlXc6e8sErJdxa0zHWISu0+D9zpRdakIvky
8tBiIlqvVe4yI/aMZ6z+2wm3DZNNO3wYlYdlDooI86A0e7PQfBzhYfdYXcr6q2wzuR+lKln+DOVh
wo71DpNwvsSWX30NaNx2o1qQ3I2+Pz8xjm8OfUYIVW2rg0vG1hnpzryTQ9J8RKVaThNikZ/BYljr
OvYutd2mp0InrJXsLb8TLIqWK81CO15Pg4IYNw9wVnMY3C6VpJx+xjFWo2UmgANolOHfzT7GITVO
1fdiIBJ0NFR4ArCN97wYIa/g/9lZIo52MHHkbsmC+pZdlUZMolonwIMlgZq+Cn9R92nd3PWh0x0s
k6RTgqi0oAm7TUAK3LnpSoxsPahRN0s3WVS6lxx31iGuOdYrTHu72pF7M0iBSiXfGbF/1VZ0gViv
dkXVsbd3RRo8VnUNCK6pTQsMsHHiTCz6lZ0TTF00nKurap7KdG2OPRIpMu+WU+B3486ZO+MRhItj
fhtrLFs3Q6ymfeDXEZ89+Yw/KbKqfu85hfXKJdXsp7Gzfgu8UTQ3S9FQ+7WhjL6GHjrSbsF296Hc
YXyKci9AItwvt6YybrFWeI8UkzN67YzdkKnkWbVpRDXX4+oLmbqyhBeWItu39ZznXFriUChAl6VW
t41ddnKwmt5xInRIeURxRlo0tKsC/f57zU+c7QJ7wZo6c7lru3CWrDgbEFdU1k9Vi/ud55W5g2V0
865t5uFBwiaBghr44a1rWB08X7/EQBFT4bLtlqgKJqvMnxbLt5ttPdbiWymT4uwouZA/U9jenVNR
oUjZoDOkWC103Ltf3UsbaepaFSoma8dDGb2WTSuWrVhMttIyrpM3tOpsIuq6Q5BluqhEA0oM8seO
lcyLO/abRA10qri1Bz94CIXpkhEXOGQSZ0VZfIVzan0XpCDc+tjlv/X4z47seg0WDMxzqzU4VIDa
cckAZE0sCNb1sp/YuVVIfEHFjOGzmtukQ2sPjXRiqgfQqQp3buPtIxnlG7+qW7lBxGit54wkP06t
z4FknVVk99UmCd1kT3BjQQBRt09scc8W92fD6OQQl5VxnOAPrWVhHM06QSKd3qEqiVaDXxebnCXp
kwmreVuabQrUAZiPBKW0zl25N3SLEQRM+AHsr8dqV1bUhvwm2K7KnyY7pU0qjIPtTwCSdZ4oLbIE
qxUZm6hK3qJ2zPGEiGcyygggzcULqS7oKlvtIMu6C925Bt6EtwyCmk1hGgcn7UAJZPI7+xAYztmm
TL0Q+kbK3WCKj66yT8KkNWM8bG+6PsBlOzbzCtZvdwxksWyL0RpWrFeWTZxCCHfKgZWB2/N7DtCc
/QhJwpi3uyK3N2Y+fbKJ26g+OXToOTZoAC5LH8j7Ed71Fmvdcsuz5+5rJ8Z7OIKYGseZaED6Jucm
K5V4jGtWDW5cw3NqYHw2Zt/rcFjAC0ZdOrulUJKi1JiH/WR5MYtCz4qxjcnZwbfQ4/8L8q49+8Bi
MRHmvL9hmwd7ORlsbhx3OLhGEL/2lt2/q6xEupcQJEUn1vmkW6uZeOHFHoaHHLpQsvVFHb3mbjF9
do6IT8pfRo+8SJKbR+lhIQZYuyWiFz+WdU1wNB3CHP1aTMUW5/pyqCdzWnFxmG+iVPlTZwoQnUYL
7HBvyFzdYPgnLXIIVcuRN9Rvrts9OTpU0uxCYErETHLAsLDS0ZNT3nwuOoyy0bGUHT7jyCOostaR
lfbv6ZUxcnnRE2lJj6XTLU1SIGfMd0AxyClZVW08fPBkpThAawQBRZHsC+Cd+0lHZ3ps6452Eomb
bLEnWFdMCeCpEreZ2gRvWtcMzkLHcZKIlH8jvy/dp75O6ywCFbyEFC7uSlzzPGMd7fm/07f/r8A7
JpoMrf7x+O3msyj6//g/n0X9f//j9KmSIv3DMI4xsf75PyM6/T/BKXKgNjqwGz1Ha+R+l+gFTOMi
E5MBE3n+xw+Z1v55GucQtgBACkYbkBrEc1q99+dpnKPBFIyiwYe5TNp999+S6OFu+MM0zmBACBAG
tMMvI9zS7oXVMz3YF+SErwwjHpnlmO7COCUdIHtLv9pGoN7hDhojfMZeuXJrGk1zmqchPrIvbnZz
Enh3fgm9z5zxdedJPx1yp0LU3cWiWNeGIG6FpPBhQ0YuY7iYcRjm0/lY0EetcpXMb1OUq33QJeZW
kdOJn7BtLlZvyzdBSNo2CyoeF2vs1iOOh1MkouhYLow2HEqgbVEm7U2RwpUGupR+IgNkrIFKIN3E
WY1ER1WOtwkzt95LwOu74f+xdybLbSvptn6V+wKoABL9lGArUhJFyZLlCUKyZSR6ZKLH09+Puznl
7drHO87kxh2cQdWgXDYbEMi/WetbM9E08Hq9djUmNpYnVXX2ymdpclp6jKCRrKfuI/EDwihdWMVP
XWXUl25W6XxUakCvp+lGmmsAXBwAgpyl883JFsR/gTeBobiG2AHOzwEXi8bZ1dKLEXLlw5UpJ47q
Sq+Z2mp5NXKkBUwq7b0V50RK+3J+6nPWRsc2aTmwwoJB1MZEpA5p2Cvd2wpZ20oK7Hw1+92jSyH4
7uTYGLq2MdYBwkJ0wYoxRWvqD+w0+Yvvzs1LkoY9O/tGfIb2jf/RdBmycpjMu+U6MYmaLtVfe4Qa
RDNRh+ykT9vBFp2zkpRccmRElhpPhlH60+3iQE7e4UUKv8/WgqxlWihM0sLQR48H7JvRpPB3hDOE
kVF23QbkOeHzC7gtUuUk6oze1t2m1ZOxrxbgO3IhUnwhtHVNXKe5ZvdCTZWkvbh4oi+/q5GrsBba
Jj+eAU1O6B0Sj0+tPULdLAcBDZANHw6ZwixLTbBRkNyXHsiosFTy7BLLE1mNjiWXm6UwX5uu50j1
cj7jhwHqoTM0bfyT4qx5i289Q2dr4xqdua5m5aJvMRCxV8ifCfLzibGteJWDdIx5W0or/j43Hu+p
LUO32AyWDDGF8FORm3hU4oLBIH5jPJkHKxTX/NdkiQ1yP4oAGc6ht7WVVZ3itGvhktT6oWaVD+Ao
bKx02y8cjkIs6SV1iuQ76evsWOO62cwCXxujRatCQKJ116+acQFTEgZF3+/RipvfYteY3xa5WJ9s
XtZdozG3v5vhGHBLJy7CQpbGQJl8OyAowk5JMmbOV3QDUQhVYGMscBqUZ4Woa+zeroNAokTbJAw/
cM4y5RRcO4NOKoLcUI4D0egR7RSBdh+pHXMg2I1Rlgzo20pAZFNBsRJTb36Ms6oPBuIYE8TSkjDO
gd+L1t6M3RsLLUJLORWGl2KavmLddzAp1O5XkrqKPRqK7jIlbnOa+gQHCRayM19KyGAvaKbniayO
N8dm18U8MD80c9zttOjJ9i08xEl+HorHAkMBn3WRAsnjOHCdQGN0mAcXUr9c2EdEa3hhj5dCL/0+
lEbyGIqmX4uhCT80eMocEAlJJwji5Hu6ZON7EmfD1lPxfLc0yXhOsafddLNbnpEWut0q0ca1XbJm
54uhZ3tadb5dVquS6vyExMxcj6SYfOEfKfeZNM1zixQyGp3wS17lzaaAnH9ahgKvTq/dTToAS+5m
2/0SgG7NYBkTQey3maoiIhLSTYPtI0plkw+RRVYAWhooR4cysGvQuWlTrPGFcNU6X8SnLLvy8TwS
5qUuTQg4TRCf3NbCvqwNUkno0v222fDtmG/MTsNPnt2jwmnb8FIvxcNcoSdKpoldtRNUW9cIZmQv
bt88ee4QHsummKLEcdKvtZDOTe8u88YcenPHOKw4DBkuaLdNsVwvdb4nYNldF64c6bSAunOr6w25
6XgYZ8gOqqNl8ZLJeS2wjoO2lY7euaMdosAt0juD595tyQL6PmyR+0n8Zmuz1u3F5Tl/VskQrysW
oFM09LnC1ySds9c7+ZPVQue1aP9pytN82PSBCI9LOWV7DIDpvq/cEYhkYtw0oXT3ziiqOiqmFu5K
M5bZlapE0LVlj8s7ILd2D+Q/vZSGzA7j1D2ES01nw9PSYWOUheKVczs8ItuCSO26s/ew0JTD70yQ
biriuG+Aoc7VvYNT5jmbavk9gw906cEEPolmopU2zDF8T4AeRQbJyncWY/q3sSy9lx5e3Xoyl4C4
hbncU7ouPgsoy2DEhACfrMHRfygn2z8VevHWhb2Mp0EbDnJv6Qtm21Z8g1TkmgQLpCYUabolxtY+
MJ1OQChYXbf1jay4uD5S6xRZvoXoSOoP9oKpvBP+sMA9tq121dGnYlzKazfKUByemEolUTLHYEYA
n55Yxgyvok2yLZqxPlo4xXbYoerrMz6QDVnsqAPZEFY3Krebu4WAKOr7UIkPe6gxvwU8fvOWZIjI
DPA2qT5ov8ZQ6lbWUontMCrjZiE+4aOkJ9nWVjuQycYxhP3fRTLlJ8FNopL8DUsdSmPYFMl9wjCv
jPBlpVvloqJKtEfSeu84nAaN3x/90bKOQ2mO6xDDPq1Slu5mp+ZJZ/B3DqmV5KdaxRMZvNLbdYuZ
3bReoPg2O/UpHiuwihwnUVLN8T6f6vYyki23RXnlP7VZOJyRPtr7pZw5rylRjwHTH2laFXsUw6EY
YEPHuM/zTyHn6vv/2zL+Lyi4/z/Yb7aJvOFXFfpjmufpX7hvf/yV/1qRhyRAszT+vfL+N/eN5bkJ
Nl+ge0IkeP3f/1yQB1hj+B9wocBbdSlQ/6skF/6/IPix1kaodA1NQ3bxJ/bu/Pvim2/tv2V2WtT2
P+zH2bwjNWErTvKRx2LLcX/CM8Y2lgt2C2LvDJLfuR4Joq7TW4eq8safRn8lgVCuUTfVGwZH06d0
zBMsIFW4Uhgfob9QFzDnDb5msrXWcdf4l6rsp0ONqfCWYk6ufvhm//gAP/LhrqKSf+/z//P9Xvf9
Pyh+KDu8Lg1max+mBU5eB9NzA1AP+my8NhuC5AUPPTK1zPgfGMU0Uf/w0j81MY3nlI1u7HmfJvgV
FxDAd4zMyFZTU73JeqNeL2FhgPwg3CQX7v00aGYDKiQqFBRFlDWu3s9LBUXLGMtVHWKK8bW8Z8JP
W97w7Xn2dF/YcXIbd/h4UrRjEMErc99SojWU8bpIr5J9l8pHoVRbNUUwfM5TY17IRBvVuWYfv4Pc
0j8OtpmccjwRzLNJBisaAC9laNa3LtP1WzSU46vsx25tsZKHz1GIzYyVe6ubbmNWX+dBmocCjIHR
XRfheG3WyWiZ6D7Ri/qIaHesCIJVPCXpNvP7r5kOW2ZqNROXJnXNnazgWy11BdsigcoCOKzesXX+
xITpvp/Jm8saIqnH9VgYn9E2hMeOlPGbOQtf2C8bOzdsjhr953qWnjhlS3IL7StdNQlaMpa+COX6
dGePiEGHwH9DF76shxGmiAizG3vgVBDDfE8GnbtlW9KR8UObg2y1u2mGCVh4Hwu8IeldHS/2dtLm
Xif1U+FMN/Eyx2uIfesBNjrOT2ABCv117LJoNdUWlwga3qRstykDpF2dBc5GjA04qmnO14BoiZnN
ILm1qCkOLhvGL2OCMQXJP7tmTruZWJX0YQTNdMNds0qN/kiyCxsruBgE405PExnBD1MJ8GxicssQ
t98CLm32mNqerGoaN6lOIL6xIoc0Ucv7sIdOjtagOIXSwQiFYhWza3wIKqZPXSrjg0OVHQWCZkFh
7ocX4bkkoVGmDbh3noyJLO082RgkgUV4TQ6LrSnNZVoAheLXPLm2sR0bDAt9EFJz5/18HBPYWYxL
U1a/5bvjV09d3rFpFyxgVEA/h0TdDNctGViM6/ku3dGBOJRDc7S7kfkxdKXKp0Iu0G9aBaJ5coFW
/UCclsvVXJVOvPNcwsdbJM02SzTpUlvaBXAmg0YjiotsPVUK/7sfkFNajBerMs0jNl1utXEaybAZ
6Vybzj/OZDk+ZrZlrEF6Mel3HikgIOUQBxuVswRU0md3XgAVickCc9GaLrXLyBSbDbEzRgpBYRgb
x6NYEhOdFaJk5mIHVQaXNOAEVfP01E3pkUlb1HXyblAWKCCXdak/oK9+Xgp174M2iNAPX6Rsgk8C
LQqgFgg0Zv+Wp2xuvEQDmMEfXFaYFPRGTOFWyfIrh/WmWwBMY+MYIiVavPS2c4eSSO4sevE0Uw/p
GN4Q1nE/+Qz04krckilsiFWM6HqbxF6FN9uu23cSJ5AGqsp8ZPi5bUUhLlAegd6npA5UiDa+DoLU
JbPSHkjCyQ7fJKFgV5N9isKppXopWNIwEultTNZNsfXmjlQOCSkEC1+11w2qSIGRetUQWbDWZe4+
BDE+42Kger6Sw/eFkchr28/u3zE/lSnZRDz9iFZmf/OkQxAFC4X4yk4MczdKq90TUwAbZax8E8bX
ZMJ26vVFxWV/Hnu72ac1QZXxCDWqyGpSrxZbRl2hzRO9ElyQ+UYLUj5dL3+aWX3f5DhD+Ak6z/28
yI3GAoWRMSGGXlTtBui7vhMq6Cn+YrnuHNzqQrOky3JqQTIB0kPiT7jPDH0106XpxjeHmIdd634u
KwO20MLzLnOicgmyfTWS/MZEbdnrEWq+YdXf0V/t2eZ3O3ycIjKGPN9jIX+1GRJvnDR+8BFXELcW
G1s6gBFejBzYzWXWoWyy6o6wqsuvD9C/juB+O0BB/AgXqbMFbNb/ScyNUw8zR95a+zqsH8jt9PYl
GLQelMzx1y9kXf+ln47qv7zST6UF8RyVxK1m74ekp82Jww9raYdVYQo2z2AfPYF5Y3LpJNjGg33w
6ZN//RZsxp3/8RY8ixrHtQT5sz+LaaFQjKwcFlKu0Zo1Ed5lI7L7VjF68P21oQnmSJWVP3a4HfZ5
Zag71qfTSg6hiXQuVsdw7DQ2zfqzRzP0kBPbh35FX1nqDEfuXMTbeHhM9pzIAPZp3FV7MU3thhAh
HoKVeaMRqO39JvlOywTluSPmrdTlA+/D2CRd8T+SQ/9+bX/8uNcK5ofiKHMKJiq5a+0NYHoXBmA2
JEtmW3QuS/Trr/av2vI/XspH543L13EC2MN/eSlrNOKyyydrn/b+986H8jO7zhdYBNVau83nX7/Y
f2Q7cQXpyv79atf8iB8+GEDPckC0KPZuOpyX3rVf7BLxSDYm36xU0+h6eXfuZSHpdsWy74wJY1He
uKvAS7pbUID7jCu5brkNER5MW1ap3U0fX1szDJLrNOUSEn5qwr3L3LWY6+psZhJoUY6OrJgs/rWa
iF5sOafpWpSoa3niUKf8+nNeP8ZPdwwVv3VNPA4Y1P8sZ8/L0TMNzpG9p9wkyr3YjEq4NJRunnFO
IZIUq14hzvj1q/7djfqXl/2ppgbwy8OtpmXExcutod1vfm5xMmu4Gqk2jZtqnu5ipgPn4lrl+GOX
/8ON+rdvgYdSCAo+CBHB/6QlL0yLvPAytdhlFiTLcySmbnuLwQDRXecaq6Lx7t3ApN4EmsJTX21/
/R38zc85/PH1f7pzejDMjDsJzOyK/ovdptNdV8X2TamQqQDZ/AdjxrVT+Pk6w/R2ucYWEsufjRkS
1aJmUW3uXRvWNJKicYW8sNv8+jP9zZOe7/Pfr/LTZ2rRbQ8FAtF92U1sYfmAq7ZyNl3pNf9w+f7u
la4fBQ0MMn3023+9Pa2GeF3Au+Z+iYljHQPrpfDCA+fMP3yiv/2Z/PhCPz0H6D8wCGK85zRp/I90
7O4z4Ts7tsLxKp17+zFPWPNCz6Y8VtdCWTRd8w+hOn/TMjsmcnduUVNcnSc/nWuxnEZ4q7G97/2s
2S+jHp4a4ViHNJ3sfWNPn+omzNfJkPiMyGbKt0SqyFeYsv3SeDP8NN80tcETk+qiOuZJ+QLArzhb
6VWghTv/178C+z9/bI5pXTEbDCV4x+5PPwPDGvK4XDRvLemPxMQy15ImMIulMCPPWG6n0Js2TW/u
+xaPPNTsZkUTamzBHFG+u8gaB4Z8ayROB8rUeJPVFgkf9DStYc0rmojvTTMmB1Ndp9+2cyQ+ToH6
9GnPZjbTjZF2m2apqa2aWK2G4oNcDms1j6qMTG9wTm3b/l7i/K+R4x+MHBbQrEA4JnfFf79ORu7w
1nVpm7xp+aOp44e//MfYiuQBk4mpi4HCD0LGVH/ukgPzXwz3Cdz57UTG2MGf/Dm4gumCD+TqyGLb
TOAH7+WPXbLl/wvhYngdNFn8VZ+Z1k+Dql8Nrgit+MtDFP0zUzmHwZVgek4KkvnTkWGyHMn5z7T1
nVqKLfkFOmKKTW85gxKAYtYsLTOT3KLKHJJ4zla+f0XbOhNL1VXndSxDiOk6VeNviNO6qYAzlOqE
A6x4zNPReEJ3Ig/JVA9nj+3vUZeoabbaBXPdAg7b+HbDXq5q5bfBDhaYMgA4+JVLW+7jySuel6Qq
AL4WFTo7q3JIsCI9J7LGeH7wUHSKlV4ek96e8eHuCzQAAYOL0t30qdZHGWCkngLk+VtIrpA/GLZ0
XeQXs8HuQIzqLq3nlncMqOMxBhDymcF48liLulp7psjeFTiM27lQpKfNaHXfkxp2xCTxbHZdz4Bf
wEQJrfzgZtBocNDDXagzK0dkXEBvmtq2uG+WPGMvybdTiQkFUddsrFIKQqa02FoIuOHgp6hpas96
D9JgKleQGMBZdkGKDFB6+fvohcu0ypMi/JbURvJJeBmtWuaHkINTH7nAGuVbtUZ5Pm5CG3G+adN6
ZlkibjIuAIhwApQ6LxuOU62fZ+y98doXE33x0lYUZhn212iZVLWRzpIjXCIO87b3xuwtrZzywxSx
Ge70MDfGSlVDC5U/nEFyh+wUGrc1mFyWC2LlcOiSKYLZw07NQPeKIGtMoHjRYE9h1bxKYvq6qIQ+
A9drSlEZ276APswW9nNZlPDdEQ3Lvc2CHEEq6qk1JIeAJRLjepS4rgbbWceaLY0M43RPVnr/rdHV
KLe2qJGGp0a48xEUupAWvBkQX18DF7aD65aOnzXCZFuc0Qg7p9jr2ydZyfoNRbLMoE3ABDl2TMaa
yA+m5qsq3fm1DSXPaPClaDLDTDdfrL6rWHlQeOa7LKv0I81heHYcyyCDrhnDU5bX7bmUilyioJJE
M4RToGE5VNNz6xgsvWN0Zh99k7loHCwLxTy6sXdPecipp5k/R6c8PrWo2IHudSWx0bqDD7YfUeQb
SIBldQSyxISmECNTRQh0CWyR59AbmwvhjcvBJsSY+zZXez+QuBccpl/linPNZIfrEogZI8t+T7i5
rn81Brzi6KJQezNtM71xBi84DKAgzoXhGowxnGJCkaVm87PHT479oEIsTeQ4FzDoa941oyWaA1uZ
CTJtjRrFV0GyX8j/JJkAjlEhltcxmTYWTGZixe2vNX5ZBKcwYt5dfyrhPFnO9DoNGc6OXrKQNNrx
aRr75iQDm6bQdcRNVRaYOlxswhGpaMWGiVH7srS+I9ckFTE9DMZ6BTDoGl65QL8jD6OJqrmptmjd
EI5MAVCfmaTTcl42tSoaDBaMq0gwhYmmdHU1PMTPocjKCHEJhlCEaF5kWH3LTKvTDbaSpFQE2V29
n87CsctiekKlB6nFKSNBwvxH1jfyE7YXeTRzi2Gg6my6DMMR42eDG8XaKmHrHtad6l9LO5OaW6Qz
CNBIF27tpXTVuZnTct7C6sfxVi4N1jRm/yyjXR4sfe/1d0rl87yaK7zQXdm2n1vTjwkDq77l5ZD1
7FB5Tg9Fgds1RE66AdDkiuuC7pPZiex2CcRSMVmchheHUL2TDb/r1Rr8jFxIF/FiL+h2+cGSSx2V
fmniYVOL/7WFoLdPSuI1VOo0aL2H+oajhOzvJCvUN8dIyNE2NHRcvrxxvE37PiEn3U1ml+jbLGtZ
h/aBjEBw1QEAQ+X5SNMLeLAQcmgIczMkScshyDEaJ/BWC+tqnM/lXqMquom9tLov+aZMJCnukq7L
sci7nWiJmEV3RHQCgscOivNSQdjMEpttu1V4tF/Ao9DeLKHptGt+mur7NM4BMfO1WFuUSnBsl4mH
U1hUj5XB7cZyIAXAPiqFd7E1nVUTBsFD12jxPPs1SkYgv+Jkylp8glymIIxkwU2QFQlJqH5neKug
Sez7pguqew87+Sc1E2bPY8Pj5+ODOre3c2OBAGyJVMSyRDaFMznJc2j1JskpMAm/m8q0giPvUNpr
b4BbDIFnDl47TISMjgvR3nLfuuU+dgS0B5AP3hPPJn0ayjC7G4GcbOmJ/fUUC3DGk6GZuxVGSiRo
sRTW1lB1esrm2H+ZM3MEADSV93kWmkyQFX7IsU7PAtMjthTLOmc8kQiyl+q5T8z8UxPazdoin6Ix
ffupawbnnBdkoPd5Zu+VSwyaQsn8IbKa6AKRiH7d2LV9yHBNGpFMnfipNBP/7NfpU410/RzXzKly
qI7Usehtz8A8LKQIDcjNccZht+K8Y8SYmpCRVh1fm4xmPwM/HxcBYl9kEnbzRkpHvJ3qPiGowM/7
qEVWTPJG6B+6hNJhKMblayFBNhqLynRU9fQyNS7WE7mSPvJtL/1CZsNr2SS4yHpAMXEK2873yvQt
JtVtDX8kvwTEOewMRRIAtOxqq4is8EhpEAiWRxhoqEmZOoq2FfrWx6r2pZDDUqwCi0n3Bge5VWwr
bTqHIsFpweg5cA69TLsnhZZlXxla3oZARTcoC3zuuYTRSF7nRmS2jr1Dgt5HgEWHJ5ej5YEgFhte
DiYX6Gh54OFDG9u3xcrG26C1Y1wibSsPQx3Lu8QcxKPp9M3Z6kMYK13i+iczGbxH25WzuoqrAe62
Nn6QYAruZnQF3bFqrxR54DnFrZf5xVszh/FrP+f5pfOt8LtWhU0QG3FFdVTLBlyIxVKI5J5ZG2ic
kr4qzunk4FlwbS4x6cuQ1HTbpYTZOPWMp9cNGQPNzTlvqiuKvvVRKdqtZb+BUDDJJMoS+ew5rdTb
MQxq425yNSlVSbas0czH8c6WhFqze2HzdQhjv6333Zx5L4PBHQnxebj4iVK7Li+t+1FIoSJkTZjw
egRie6/ykx2K2+41mfP6gbxNgqJF0qc3vTLV0ZM59yoAnuzkzzbEWE+NQ2TYRv9AATuqlQoH+VnC
PAHAPw5Xp1Qu7Sczm9QLKN7mHLZZvpnIPL8Leo+EBo4tllyu0lxRrdOlXM2l/61mj8TOUYr5zhji
6iZsKnOnl3AaIj124Nxgxn1dlqCzrpSp+a2THeGsEGZYn8zN8J5h3Ai22JP77ZjLcJ/1y/gw5J3V
//4pFXukqHHU8BoO/pOddWI1LqP7ws1pOyuoC805GMvrKrr8hDL5QkICnhYkO6cQYxn3bOzwA3QG
zCqly6bVmJtuTeoeF5742PClsaC0rmK61DyCccIukfmb/UxAsDqFVn3F/tTeBcBwc0vzUpwwmxaf
UVO4JMHi2vxKUI3cYU1ydTRBarwDxDMQ/FJ005cgnc35pp7sAXZWSKt9IythYY1Oknnf4Zv/GhcJ
wNvKhFZ+1fhBiWx8uLlCB+FdpZJlb3FyfRhW630kSaz7zcDmIVv1ixnotVdyrVfuYKdiJ+ow/TSE
rdgadZF9XgxjuZhhCSZ5QLvC2SaHZysP5cUH9YhPvV/OS2p3H/Zvh6+OMyh7/VJTQyTxZZZz+z7V
QXvrVyQH6REkIpAFbyXLwXuTdaqmzegE0t5cs3lBgCG3x0op7Psg98e1OSYQw2Q6K65zcQXgYyFj
s9H32XKYBsC4UavqMlsVvXA/m4kFQqtXHcxFM9XkJZlm89UxFCkytU5v617XD2k5qhfo4xB2lRvu
C7LongfLnEnrmKfkEA59220t7EtpVFZdQvaAsxiHvFLmHhHudMxZF1ord4YzK2mSyUpHuHhKpV2i
yPWA3K1yi2EbLUG69/Qo9kj3Vb7qoBVuLOJRL+48DHymvmqatd2wDo+y2F2sCEs2lw5PMqzIDCfM
gHUOAVZs1ecWUjpQSvta3ZAfs3PNNtsHLuvv1WhY4gKt2NkDiareg3opv1y7bET7yAaLde/YxqPZ
6/5MDIt+ySc1H3LLRganOPAj146XqLFalz8ZTEoMQ9TH1pybUx0mhcR/JmvgS0WdvZV1oeVedGly
L+qSj5DnjU+WuJNlD31Yfted7dncLgS56CI7G0AOMeIVfR3pxXWPicTDCCfMMEEnx+FlElA1nQCu
AFuy3suPmRquYuABEHyLr0SsvcVx5lXSes2+7ZQZDW6VGrSmkjSAQqQlBoqu5dJQxptlOB8Hd9Q3
HSfSW5pjRogqXIuYjAlvwhJl+YXD1L0DpyJcbCwL/qhqlbcegE+doQFD9+VtJrZWx1bYGVafYflW
MkOHVDyV3bWMLJuN30sdRIWXpweMP+3HlOT1baJzniQGnjYI8z6LR/faU3SAHdf4pGcCngJL3zu9
ZZ9Kr4v3SEKr/ZD77aECEaFAAZbTM0gkgac58xCWgt/70ukghY3mLcWVPqjEwcYmlrz4/QTdZ/BH
2GS/TWf+d5j1T8MsZte/HGTdvn2T89v/Oeu3bx/tX0dZv//VP8ZY4l+BGziez1zKdE0U9n+OsXzn
yjM2mXFR+FDaMNX+c4rl/Yt1E5qoEJ5xyEb+31MsQjdNHBEMv1B4u1jO/mfyKyron8dYCMA8FO/C
RTQJSeWn2XkKQmFa8qXdTkXPYQYoiRU/YXv3oE/NZ+l21ksABa/gbvWLU2rPo3UTVEhMgjHNHitH
pPAghoSzfpydb4RSw6OqurDZxXUiAJFUfS+fE2KZmdUadfA8xJlgLC7EejJsk+63uCiHobVPNFTU
yX6453R/XjLU86umGp9wEpVPyVJV33rXt+81aI+9QFdy41HqHnTCUr7MJ7LIyDudak6DrsRbLlk4
dmLGVkfAg0mHVS3HAPO0Gek+mB/CPh7mFXqUgqZMq0s1eeVy4XCj+vbkUj42SDGHdQYF4LG06jK8
AbbAtDk0C4yogSPkcBBJwaAZwU/zzSBXkkewquICYDNV4QmbYBhi/xQ+dI7REfphnvPmm6MdEp6S
cMqHZ8NKwm81Xez7Yo21tRc6VCXwYPvaIY7kfKbkLIDlg7tYsnvyq/FmMdyBtDBMhneTLNWXQvTW
U+2JcmXrOHgQzuzuQAoeoJ3YqHsN2Zi7ugi8d9TfznCwPSJwVyrWinJMeiZa+Ql6sjfoGqt6QiYe
jBqSQMPZfKKxTF97LPHfemXA/jNb/65EFeGj8VHdJpZj4kRu2YxH3xLdriK+mRPO1eWOb8WxKCI5
JYpWDQj10ubaBmAVSawuOdmFUeZfFn4cF3h9hl51JotqA+crwrQC8v6SAJJs4hkkqElfGjU9A56C
wIp1b1feynVyQQVejf5vJBPAI/lXshKNFbqcPFmnROZEsL+yx6DF+tZivwf2wOdmR+MB21wsScs0
1W/mtekC7Gd/T4oyeHF0yY/cwk1rf5GN7127pSHiufpuE6FNwM5g7LPJTdYokFEfAVJj1lqG6dHr
ystVQQvfV8sTEmj3wWf28KqRy92yzmi9DdwCuVOdH3zVJTPIKDeN4jPqvB4jDT0pfVuaTEnEuJna
sIdBjUIkK6YAjDHUxxvSK42dH6Dz49yk6hzjgY1/VV2CDJRaWluO2jnXqrWxQ5RkzvCqrxWt2cDD
INErcNGoDC05Wxh5Antvso55c9lfy5feJHg1SmEOUmKATzVXk2WMpDL5Heff2C/AQGtGGtUBuSjH
NkYj+bkdUwZopZV09ba2fbAr6re+QOajGjnUhC23OKroJKQxWnDmUstHTaa9V3vxtTEBdfWNmKlS
77yQwKuMO/e39iV1U9kzR0cwhPuihbEAQIPs1HGeZnOd/dYkCazHOfe6SKrpzlF+0t/GQzBij1SZ
WT6mIf+vi6QDxezgx9b40vHrCoijBVyzhUoe1FE6YltkzBXScDbXfrK7dpbwWN1DQPWuHvO2noNN
anRh9jEyvD0NRY24/WqaZpq6WMWz5o2SVlRn+QeBTKHe2HGsG9o0heuBppEAM2i94CHawABJXAGB
H9blUnxHPKei0rPHZINrK28P/DJxUzX4uFZWqJ0HPaTVXVW57jfPmCpUsRS/NFuOq9/tsNDGqpS5
WsfSnRBh8Uc8JCbaOFYenxQZqzA2c4tU0txJ9q7ZKDLmg8aPfDdVabSwpUN66Ja0trlc8C3zgPQJ
CMl6RXPaFkSaElKDs1pia1sVU15pgsX1+Dpgmrkdcrd6qf1sLlejO853/YgyAGxqyEylIRGF51Bi
YPoKCROyuvF2AMp+RjNXpFGQyXCbEer04E4oSx16lAtGHMkGpHPR0kMSIhFNCWSJmCuAuag5PXbd
eLWmaYX4UNgvZeeNW4sie8XIyjv04BK7VckRWVKdmeb7lJADaRtiyq4826tLHM38jnDQ8AROhVw2
yPw5YwJ8/NKpmnsDwd2bydbiSzpaznMrWUZ4/YCIXw/xhdMyDXaUbe1TTfzWu6Ih/yZCa3wadTlu
KTkfQx5L04pVbNhu5FA/Zj3Rf4zDZHPDwJEnL0OlZG+VeNUAh2MJqCoMw67Tke/nZiGc7QCYpKaP
814Tn9jWdc8y55h7c/A9HADbVinbB9ofc591HdU721tif1nJjHtT9PaGuJBgXYii3pflQDiVzsY7
t1XE2GE7tLLtbPGBcQRbH02dGqce06yMRJVYzWkubVTVrV7qT2gYiWgGHcvZVQ2Nc4AmMxzzXCYd
SGgU25gcuvSLS1rowwDT6jZTeXhfoRqEfuEFXzmaNSuNpH3NBpd5IEjS5gZjR3Ik9BXzhcJOc3Ht
SV/KlEEXU40hvOe9dP+XvTNZbp25svUT4Q8gE0gAU/akKKpvJwhJ5xz0XQJINE9fH31ddpUj6kbV
5MYd1MQRjmPJkkgmdu611rc+gY/Yr1yKqAgZxnp5FD54/pQwXw9JiQICP/utAlG8KH/JtiON2/2F
V6/6sBebkk6vt/aZ7j2cvW62SevmlyEidJ+ES3BhcsEyF1bl++xg52hDK4XeV7vQeZxBb3OgY3ze
fFRlvFPqwW4cqgbLIZwfnMFamiei1NZJuLX+FKh35TYmSJ+uaOks6e/WtRnx9XQ9+oNxP+FG4Zot
QhIWRA7z95qraXw3uz16u5251XdNW+kPJDFgUh0yknXquqsYSA9dCIIsNv4T/kakNCpj/FMDOwky
lFfzn3NC9GjNd+Mwo0/PNxtdp8DURMs/Yir0HtwMK5s3dpzMvLgOMbGOViEqoLhm89XlpmEwa9Ga
JvId3Gz+eJjuWPEa/jv6zfDHG3tzLEavOY9K+yfPSpuHvK659XTAMhN6XUz2UlRttWf30d3g6bX3
tqIJMdQ+38jRafGWOQVw1FB1PGxm/jgYTnMUFzaU/GMI8DuE21J29EBRDPZFxW1GV+4k5690tqKf
vpt8d9t1hsaKOHDbBA/onOT3DtuOG154UuWCL6cbtmwq9vt+R+1kHizINk6ymdIYtcBNg7jZ1GiR
13bDKN6LMKs/w3wo+bxRMrabrCV1VlFuKFUjZvhR1b2K1+msq6985g7qRlH0JYeh2xo2IJoBz4pu
oPkAL4f7lsOdhb5NqIYOvIyl8lsfxO0PMTcgBrJmIYN50VirEGXnMYEMctZdUz3X4cDPpnXtXYBU
mpTe6JSrHf2ScivcuL7n1J83WvuA0xl2aoql7Ch+iRyKox2fO7jbidCwAQrJGOiIoYlSTQj5aznN
LYufjEdNAB77Dli2xxZqmAaE95q2hCS72vzaPL9jbwN3wR9LJwfuhtzOkp+Aa6+dwV13FIy8xEC5
ngmH5ijDfLNLijP5UF0pmpvJn9x3O2SB+5Sz6L0HLy4Lkssy+NUzW/araaLLd9fxZL6vkC1OSVFH
bJnLnn73WlrXzt/E4qbO3wyhLDR78HBut/Ic7QOAy+AlBNUonhRPnQ1o6OE1WfoUPIEI7sc5vsLu
vLZ7KETvmZ0dLh7mzRH8NpO9UTMtAjGIHhWmdxlMRIY87tR3nmzznzKe5GPbcFDj+q5ZFBHCo0bQ
eNYvTrxsx/NZ7cQcZL/9ecJjUibeSzhR+rODgKge7WFUnzUEmnQdJjJdq1Zo8twz9LJE1f5Hzlbg
vrS19V0DW3my5wQyjuj68qYys/+H/pq0OS9xV0cr/MvlL3KB/esyTtDzlsLc+KDIiJf6iZ2x20HA
g7Gv55nack6hQ0vH6AGWgvWi2AIaulCbDliD19+UiYZMNacUT7Rewx55ZnsDQgkOqY1zD6WooLBg
CfBx1UnGAtSf/dbfsKucdnDem3Nf5z40kjjV27GKgVHEnX10yuF9snskAmI3mwUTEz+IaD+jGmmb
R1NzmhIZHKncu2IcYxfbtw82ZhZE6NIZ/dDm8FpJK3kVOXUnrhbkQHsQ4aIL/9S+e+ggLx6nOELa
C/pi51I5sA/GpEY2mKPfkdV0d66oOf/mkLWVnrgdWj2B8rJP9iMjgrsRE53pMTvS+6nykmObNR0t
l1Z1cLoxv2ljEiBj3jcPQP5ouo0Mo1Ex+fWzy7Nvp4KxO4xFGH8yznT4vpPHtOJohurENL3QFjy2
OdYMBICbxjPpvgn1lTI/dOcB7/A1G4+jPh2pyVP90YFSDuTeL/MtMZT+19XXPtIdXwRH2EDBZ9YK
EMxVq/rTyBuE+pBZ3+hW9AyLOZT5LjdfS9D+WhqL2apwo+vjlNtYk1TRUc1anzD/LyTu4nhn4IYQ
0wAmdAuRCouBj120rSz2UrERuxSPx0Nf2nNAfcVEMh1Z4QwppjnOFnUpm8DT9h0gX7zytH+cZR09
87Z/UG58Y6bhlbCke4+KTgraK5Y1xLhm1TnwZXg5zTqEVMfFjcbE28QCqLTO5qF4reWUvNmxCtfc
PhWlo9eKVLufvtImn+5BgV65eqrPbucFsVKJ0T3WkRfKvT11LsdbNi0fbLPu8qbTd3kJqgBfA00o
UjMBDoS97UIOpIN1hD/b897JRJpvXDS3ZVK0Nx0hnU2L72PhiJHxtwgjm9zoNBEgnurdPMwB9YfW
cmPAfl6ywgxP4Ax5zgWtt4m5Ku/aIr62gWqL4PBSikutwJH1PrP53FH/i1Zo9R80vHun3hFmS44s
WRFJ7r6DKo13RehPN14YjU9R7NEzEvT2jhU1Tze4FTtp0d0Q4IbArdLEMUUx2tAnwjRyX/BubLdA
a4qGKmOn3LYIY9QH5UPVr9lC9jzCnTZZK25t3IYt2Xz2JcPTJrEG88cvot5/9uOJnK9DOwc3k16Q
N+Bp8ksLa5RrSEfTIVvS6nOKIb+sBhT0aEW0tYnvy6yxX6PU1IzfeXlf04D4KRJL3YmscH512bVj
I3cLNuUNr8Nx4HazU5T84hVcpvQ1ZxlMG3ZAdcATzMkKqljcBtsmVphxAuoC3w2a1tFnA3SkE0Rw
X5hkdU8vELS264LkK/YsZ0sSwwexYyY6nKRLM+u6r3rryenwQ/SjoUhwGpqnpPD7L1GkHACdUx6E
l35q8hU3suv6altcc/EENuYV97qCsFpUe8/QYvsDmAkpbuMJQi1UPo0fQ3Ri8fe9XRIgkmTn+xX6
TRW8Zm3KMrXhqSlXXVRcR8b4PI7NLh11xh+iD4eFMkF7QapAXPvTgO+8BIsbvdlTCd2JxrkIL0Lv
Z+9pleoTG5wK/A9UOiBKzVScLJ+WoGcIkctT1TtGncsp6Tt8N1M+bZZkJmc8WuOaBgk+5NL/gOBQ
UsPJ9Y30uI1eNOOSGNd0iy23XDo1IDaeWLtxpIEujzsCTIm0nomzB2fQuwj3YYaMPsDQ5SOX6gtH
vnJv2qHM7ugdc3+KbAje2MzAPOF5xCTdePsqL5oLGbf2BxpgzIcpjOV5agdn54RJ8SuzGis6tAEl
oqwfIFsRQ5bkj/KwBFLpaBYGWNuE7teqGT1no+novc1y2V2vhaje27RoOxgWU9OjBXfVMK4a6AHe
WnY11A+CO+QHU3fi495h0YF7aZfQQTpuYhk4XEj7e+Mbe6Nzr/fXrm6Gdxnhpd2ZrkZGTLuieM5Z
B3pY0orhjrYaAIhpSb80jD3emDhPwpyqbq90vzDFuCs9JLircjidTDg8ombfs2hNTsrpRGmz+s4L
p3lTpRO8L6qqcKDqxLqvA1SVNfjCgBJ4SXApmIEc79Ji0Ecm8WJnliYv1tE8dFzvEIFoysj6hphW
EsSfbjs3exj86oKZLXC5dJGA2PV4rHBFBd4PWYzI2iBL5jfofUiotEEH71mHxX3vKJoz8BHI+9Kz
Jca8vl7xDpbFY4Vn9wBWptXrBKXVrEVIhIOXRFVnSJOxWHUt2MtNiZOt2Zqy1u0+guVGn+LYR2Vz
zEIdDduhdLJ9bnxyJlRUTR9GccHiNwk6Akr+oNdqoFh9PZIiiteCunqS5uHMAg27Y/Q1YA14DjBJ
ma3bB4o5IY/ljeoM0kbsmexLdMPC3iKdLGdHygmkNHXTvaYSfVjeMvhpcsPbUwWbPJ58Dx+VPcXv
KYCQfVkJdWIh4qfgt2S1Z1tb/KraUqB0zCFaHtaU4cpP1eouxSzzSh1V9taONkjmYY4Uvyapefqb
LB8VJEVYqdYjbxWYFRH6K8pJS3OJicNnEEfc5ifB8TMrJ6MncuzZgwjRijPnRIpIajv4MbvcK51j
MOF1gqAdGnlDHSoWzjSb/B/tDfqlUIICFdLZvKlzcQ3cpr0/r+NEsXvkLmDl2xx1EVZO7cj4C+nO
v5kE7jw+dllwyaYUWILP+cmBTVi1uDbSSuq/wDPYG6/qF58yVYeFjUpQ3GkfM80lKwuCWiHc2Q8V
ZTjofLxRfJK0OGubOH/cxN1wbmxh6F6ycNptLNnFv6joypLdJK6QQKrArHbNY4lzZaLnvXzJpHFP
S1hjXLWHvlXrkceku7KAr+1dhRPQEh3WbUNj8XmuLFRhbpFkVBs9tfF2KZCEtwJyyoNoo7zZB0xG
mitT2G1am8/81uBmuR0nyEtrrHnLluY03DQj3HMOVDvssTtwdhrwhRP68mgP55lMbbu2Wp4yKIFQ
ZtdkQVgmIfZzDixJGFy6BcgwZp285Aqm5goUEoBPfHWFVvua7ijG0zFmWYSHFVe+NXXRLQ1dHi1W
pfPH5FbwqAPf2YGrUWrlWlSZbGyK1jBjJAX5Xota02rbcWzGWB1b6wGw5hK8UlY2b2NlUi4wsIh4
uDjG2nGtd9M/LpV0nwBeQJpkqUgf2eK60EMqDx/c6KePeRHMeAwREHYJnKLXJh1opp5N/AoOjkm6
CprsvmiL98aS0bZOfR9iLw+RbTQI7KHQpaMN/YjVF4KO9atOm/kZ8vpgbeA52YymHLsznFwUHOx7
IBC5Q07BoR2vu+zchD8Mc/rbzoLyZaG3Ll2DiKLZlfn9BEEnDNY9xUag5yPSlhKyPodq4f52rHbc
sbUgr8xCgVrqyoWE4Q33nT1jWrLKWsLO8MflIHnjPvYttsoImxh1hLBa8B3H4km3HWd2j0vjOQ+E
M90k7dDsFvYrMaKrb5J1aXVsopwGCN4ucgeZUoXNA5WPkZHsLWmDg2BLmy8lsYtjlnNDa4M6UO4l
kWeSPsDTmwvn2M/JU9K66pqbmr/sKN1Ky603jY2uG7RLMf4gyLTXBKh4ZyabPJ5tWaKecq4mtJPk
AcQOTVGRBkv2zCwaL2s7TDBk2UhRFmNb277hTK//EDpmFpVEl9p10Nnlb9Gh664DeaW/qollfztc
tVpCrZC1OeiZKAm57v9Xn/1vcevI+wgUy/9b1mDzm7T4fwoZ/OOL/s6r8/+SV/ScB7UM7fNvHRF/
59UhwcKcC0NkWCGv+uw/1dngL9JxkrCYEzouuQSE239vjwjILIhrGkBR+sB3FP+TjMG1huI/5LT4
5QLhCzRgR0nXI5T2L1nZtEL75Mdr96m+sjjbse2feYCN74npzZ2cxufB0tZjJXsmLtKHDbVVIWib
BoALyfes+Chzbb40FsZjlIfDlmoIb70s+GUcF/xNWqTew6To7+PbE6ihI+s+pgLzN8fh9zh0ajMu
oQVWgMCdql1WVuEYPUNprWlGc7o3Cf3/qw5AeoPox5EU5fn9XHuPec2eo3CwS0xSja/0dttbFLMI
63Q4bMK8r5/qOnxnModvNcY1GFL8PsoiW2BXEycXN8lN14GYGOb2iTE+2SbsTpk7+/CxoYdpM/CM
enJL19p2ccaCdsRyHLANJgMLCqmHBPYm5sk7dCIq/oRRU52NjJPvQJUc1zO72wH0/3M2iHKf4dEy
K1fxnHSNhKeXISY6QDAj55ODYcay5Q3YYoLwPDpXb4xY8MfjL8J+JYHtEleCcpKuWtfYHzVi/srG
6pWhcjEss6Xybr3eZGwmuWy/UnPacfI5LDTJbDQGo23NhPy/R8J/60hQ9DsLT5If/a/zR8+/i68q
/qq+/tO58M+v/Ltrw/lLCsFr7iq+HwCXf7o2/L+EJPlD6sexr9mjf9o2nPAvylj8kJfbu6bzArwU
/x4+8v4KODHCEK8HQTiPiOL/IHzEd/yXk0F5nsS0wXDCsSBd8S+hujQP0o5Ku5iNZf/ICJteQ5Zg
DWJv2IVWOf6GRg54ToXhgTcru0AcEmyUlDyopZS7kEWyvTUgeRirndF7QITB3QbU9UilUslZkk8X
P4rVrUSsPVpRWNPQEHlsHKJ6txRThqjIqPFN65/d3WbX5DS7u1S9K89JXvum6m7bWtd6w9SSRtzB
7ODGnxYWieOIDRTSXVgcqC9AjIhJAsGmYq/lVeNPlC56OxNZCvLRvGNtMIAAG8Fz1lEpNPeZlaJW
AWArhJp8XWpXH8euzrCy+tjsWb2NC+SPKYTm6wZWta7CGMP25Lr1OnMZ6tmqhB5o8SCtKMHwvZdK
2xg/8XvQ6ujTf9CEWfSM5IWCJGyKFFZpq5LLTKQGN7k1cc0gBZLe9UVhXjX9n0z4OrWpJ+aOYdBF
ndkxh5Td5E8Nr/HTkrggEPm6jvqPyUo29PMY2FyO9xrZozz3kht9kvv2u1VDY14pFPXj3JrxwVA2
sNUyjuFUF/zBYzVdf3Ac8U3Ozz6QD/fqQB/qQdRnJmMikbzM1bcaWMl0iQ0NzKS24IcMQp9oEzvX
3M6cO1GGUcVunp1zVGcU/wSW7NcxiudeKJAFq9nRRzeJgo3pxlONqX8rCDlkZDOTx2GC6jxmsXFW
U7tUZ5oTMsIUOGq/iJlmp3H2x1veUEMWrVTQWLiHafuNr7gD9teAX7qa6AKQ1HDR6uBbZfrakGHY
LJPV3jg4Sx8tyy/XRHigl9ARzCIYmqXVj/KOdIYNhDGLD/jo7Bte0egorK7dlUtuf7bLspwSN47u
a1mxgsx4o+p69L/7vJp2CL3dMQfYd+B+99ziUxhDCPxRNiT3eT7RHxrq5gX3fbSLh8D9Sh1gMynQ
6nUsccco3LPS190bxtEPWgngYvusmXmZXjucoTG4wp5osx966VM5jQfW2PcN3vwh8U6q2dE5ClmD
VcVqmIJyxeA7HLjcNRAh6GbBHNHF6TOfA/+WxZd6DHNPXaEdU3YqaBx673w7YJud1fmGQVsGdJ+o
FCDRJEtWH7qYnwQLiAOLDO9i8+cjuYOhcQUTDF4kEQRcA7VyXyuIQRcPZOLBwZXOrqlEoYj8Mf1j
m6LZaVZk/Wqeou7bLsr4+qEMwme/cgD39CkHRaxIKnHJV/N94qbJg0vBycbPItK0Ygni+4abICiZ
Pk4fpyCA4DnOSbml1tF8NGnWXNLUpXwBA8eFlUGqV6NER0ncot2wq3UemXP8AyYXGWKV9swz7R3i
ZSh9RBy0k29qPsrnuRe1PmChcb95f6d/EgV/iA22A/unmkXy5USFW7AQD1BbaWvz7zKXdN5sA5lf
yaz8W30i3VMA9+moKL0o2TdDXt0lBDKeTSniU6Q9iiDKTp61he6z4o+iIIKytt0I1dLJqfvY3Q/2
EN9RpeA8QAlV+2xM+3OfNOVPxluYVzWi7KKru/5c5J3cRs7SHgIJ/9vJigB7R0nZdaHn6pqyi+wb
FTXwxNqRVibHZGcnyLG4kHTHcKYtx3lGveKS5tOIzBTl+BfA/eVDoGP70WWJge+E+TE54WXxX7Ay
2XI94PP6GZeam0tpXwFADbYT7bWsdoJT1s5UiwcwDGBmwQjbRlad76/2526bAyw8SS7shzGsLjb6
OokEIm143PE2JGHvHKbAKR9UBkzJ44O75d6T7jHlER8al+qpMxg0+i7FAJOGdyZL49t8KrGwyzC9
xfid7xxBhXare3MTK9rtfcKX3/nS5rfGeNM6qyCbJqXn33Dd5DUkkHiOwhYQES6VNWdRRYR8zqh+
94Zx65flt9MV9bZwaOyVbqXeLIyzFCG8ZapoCDVUydHBv5u0IqHgNje/8N/9zoAgbhUtXlxunXRt
aislct6eUgsjlTd47hGL152wXNZ1kbIeHKvyIafF1TG2opMda0+tauj5276w5nfycimSvRPrBxG5
Um7i2Gq22hWbpSqeFxh0u9IzwY70x3vBfflYNAQVlE6/M8uMBT4D4UucVUO+wVOHAmMPy7TrI9c8
OsbNbsFyNTuymP1FC3HjB97nMDUHF9vxCrQMCeCpGwBKTc4lqMWZuX4JVnWCtrtSOkwQLkOq1Gt/
yG6ErALiY8111p+8qNinCeLlamCK37cyO+k8GrJ15OGqZ1mNb3XjBD12n7SGAmZ08VXORXlShRo+
JLTZcB0lc3qbzb3ZE9rEiY1PrX1sQSHtl3YEiqvdgDkBuQnxMgZKLUodb9h9y9UyWPJ32ccm3fKI
9/KtS6L/Kr/GxboZgXKvEQZ5DqSiq9HpBM6Y9VJk6qeiYv3OV/14l+aEJRvqNzf+eG2vC3EWFQgB
NAnf8WuhCMfenD3Lzm7pEQ57SgSoX5leoyj5FfJ2/1g8tWHsoU83GHZ5116t7FH7mCpkrLr3Srmm
bnzil8LpYJMJfsgoFf6w4tbexn4xnTKpwZKhR7Vre+xpBKI54RastPfdiTz6RF0lK+oA96RsUBH1
tfydlo1+qUHYHWJVoO363UnR33LfZFH8yrKx2ZcET/5I/Grv6CLNTvgLZLmgIKhzKPpYH8Yq9DB6
N5pdc1MZ2kfYON3zDBj3QMPNJfCC5UTDmvuaormcps6aTq0I4o1sW/vYlF7PA8n3IO9WtYDNlgZH
lsksvMJ++RGtZx+CGFiz9BaU/RJj76Z0vH2eePulz18oWFmwUKR0joF3baTeiM7b+DZFzAH2S8KB
lNEMo/4t3ZF5ruatmE9qK2w2cRzEm7Ify42r6LoR84MlW3mqa1TCvJm5uZVR/eVxnrF2Z6TwulKn
26Cyd02fkldZWH9lmmihopHmHEdspMqGfR7x+Yz9eSR2DUjhDQaOtZdKcYnNcCPE/MdxOhQLw2MK
NxnT/q+h6Lbu4oHgFoxal5CM966CVnuD6prsrYWdYTfyVAm1Y577SPcvM1UUQOcms+MCeLHjBGY2
7AxWhSrboDezKIaxvs0j0oyz24Q7yVGWrKWcPvgicwZGsXxrcpOY/uxs5yZxhVKbyzf+3mybXDWg
sDZN6oPhyyHpxXRqVKmbAPfy/YfG8CyPhsbm3hjldwJ74YWFdvQAGSQ4l3aVn0Fn5qQem9y75xOK
Ia+BY3vmHlI+VLHwfrPqIyzfRxU7A+FcvIFF+6AL73eYROGtGqjixRWJ9UK37Y1nK3dcAV5OPyyn
7G85NotjS4nVpmv9nxhW3sGvWHHFbjZcKIkNPlx2CXSpVUg67Ji51M4ya26buS2Z/GkqOtZl3HVX
lN7M6dGziV2maldwdTrgI1JHy/PnR1a3HYtvPZxYegI2tsLqJKd8fkV+qe6mMnlHro3uuVvnH/RT
tgfpAxKcc7mXmhl8jrN256fK2eLKi0E3OvVF0yl1dRLH8E6kA/WOw3kIIWmtgMS9kc4nS5gG5V07
cOAxP9bvCc0laG5FjrRX8QbWnXsOHKCihNyGAYU8jZOHWBSIGoMaSMov0080Q0RSGONXUSD4f0Y/
x7vGc3zy/fim9tHIexO/BdfVtyiVvRkYiOhePi5xvqcIkFrysviaDJgHnqjENDFf1hvbG6gjtK2N
TeiG8Culc0Ez/qTpODznYVOeMj3OvK0Ntm7PcWClDgW6Z24Db8yjw5hATbbRFpq2yI5+8Ws0NhCE
oCFdWvOtGGGxp1Gq8jNbCQtjo+IOH1WR78RYW3hzMRYHmMV2oDr587mje2d5AVD8JNdA8Kprm2fd
fJMPpoopd8wxE4QaMfj5K64+jBN47g496uwt2E+w7nE6P0VR2jEvZMVX7oQLv0pT0GqwJD9cxgTx
ee1ssshyVybs2xfSZeMjWRtQyW0lnY/Kr63P0g9R8VO7OXgTYX00lKIJATCUXHr6wLnXAYmcyBBc
DjB6rk0YUvoHkM/HBV0rpE6KDdZNx+vl+WH+PgO15J01ohVY1bii5ueWRTh+Hx4pNRFwBDziail2
TAZ+04dnTP18/6an8YpauhCOIOOpfcqVtrdEv3+343QY0ZeCa3BbOSaFmS7x0xbVfOgCP97Nrm6P
Rtb9kV08XgO7xg9iHL0N/Ui9Wp4Iz9SDRT8WMxPgDGrI10Z74Z6Xx92GpfFv5VI0Z9gh5YcfRAOz
ERT0miKz/SAtcmLhPFlbeKqpfcAwxSoNXDb+7IraPXz4ZbjHnO2tkpEuaUZ9uooinQU/YCmUi/Dt
EWIoIv8T3JfyAXMH+WvDiLRt0N8u/bgU7+2ERWZOoEjQujt9qSopeXbklXNfUHPGWVYtD7FlmVPu
LdOD1XUjfq8RaDuLVhqhcn85LmwqHsMy1F8gtNM9WbjmveH5xhHfyaM/u1Tb5KO+DXphD6u2b9R2
6B2bxFtbP2CEUiBuawOme4nNs1Wp0V91xu1ulVerLf4A/K85cupH0cl273fiT5pX4clNEhor5zmV
9yzmbPqEZIqP+woPtekS2lDhNtxO/iJOOhJEHOe5fB+8nMmV2Ms9VhCiiX1RXyIWehdKCTCPL90y
b+qkAqbrlqK7z/2+uWO4zhpQkvWM61Fw1LQ8RB/xEupwhU2wODaqDPY5/W9PAHlZ/THClYeSLfAm
5BZzFrETU41YdS/KhnyKv97HLpDHr24WUPSkIwnldDGw2CtFvV83LqeS8QzL8TK+Q6I0zyFT6MMg
Rp4mSyZfS3glp9CgcmKU4lkUjcsFW1BDY2oDpFeDSb+tOpIsiXMNV1xt8AQHMPgv7YK7tKb69csg
jZB1z6X9VSonb1keLNObi4jMriULOxYPvWu3W0xaw421dM5WIqCTs4ysZcfek1wrfZEfyRQ1r8Zv
ve3SuFwMIMOvZvCwd+S7A8wJuX8C/jatnMF4GxKH5cVrZ0asjPV2iz6amncHAsDGg413F8HR2evO
gQkvxlx9LE5kMTRgcUSGL25o6GTqTOlUWVmD2279Nsrus07FvLTBVzOyAUkya7+wtNrZM3dwfg9n
LVrylRB8VBRwuuYjoEqyQ+wenJJXyelD/A4Waqks7PZU592AS2jp1Te8CsyoS8a4hPkAAphvtSVA
DWra7XVKAzK/NeMtDvinNMqK29T1+GHFhKducjGP/L/d//5/yEB3MPKzTf2v17qHLz3/61L3/3zN
P5QeL/Rtm+iN4yo3cMGU/V3pgTOlpLJZ5gY0giPo/EPpkfZfcNOVCv+Gi3JJkP1joQsGne0wnCni
KHZ4/Zf/wT6Xp8u/7HMdB4gU+Qsfmw/buL+BRP8DYDJ3SN7jua/2mbGCOyqM+PjC5ih5/mbZO3ar
4YNRsThWqqCuK2wjPvu8c7Z23pqDNiI8wrTucZLzPTawScLXegjku4Bhe1kW231Jvai7HVl0A1GT
2TeBAHkZdDyRNdUs1Lhx2+vA5kG3bp3e/ZVPiyC+0g79RQFMfXb59EFVs8rqzzw34lYHqngWrI43
ZIohzSTSuccZjDDDrR0GlSqPcROgmjdR9loGXnfSBNpf8Sdmt6S+dimV1ewd8TdXZUsBGE9ZuEtU
0ig/QcBCIV5LHO1H0mtcBWJM29cIdHwJodXu0y6twWjlgJnbId9K0E9Paa99otFZfxkgPG5CtpcB
AycFGMo+uwAEbmUCYH4qbHeH4ddcXGHcHQCM/Mn0do9zkMhI5qvq0gq3O8YFh5hPfO2xqGip4+Fv
r9yC51E+eJeI2ZmSicnsW3zRH452JQytytA+KFyMEm1+VxRSH7xrv2Gvm5kYer98hSWpcHo7mx25
6WEjcP2uMHgUW+4YtDAjLL5gnfhTsRj0NlWviewwy40fLALjV0bI8Z0Hb/ccQhCHZOty8BGTZtqG
IIucNNvE0I/KHq6AcJnYHxT2oEq5f1OogsWfPjMg7e4ux6VwXwUmOjP6TjchflyYxGMw0zC5BCk2
+jDczFwo3TXvEQIIFhu6Gnsgy94Al88f56qrRcYRDJC1Q9i6q6uzvEpx0eS1T8XM6+K2pb3uUv/P
PGXVA+J8fWJzLm/zIuZCSXnU25SpeNsF4fDGqJy+1tz8uV9Yj+z2mpvMjOKPNWFOKe0Mn242tAOk
onieHoTIfiU4bT3Pj24bTX7GTH50Iwrar4axupbsAgh0oHZKWv0grnksloYMX37gbNKlm0+srf27
sgkZ+vKXKamcZDX6sTmbVlRfGvfSYRbueIhZhZ313FwRZUzW8RQdaqtDXZWLVA9X1Mbd2I/zblaK
G3aceB+J1CrY5oux3n2ybK9xU+THKh/HT/ip9hepPci+9MDiiguCm1G23SYNx02uvId0ctpHaaZy
HQ6YJjMu66/eJJO9rgf50ZiG28JwXa1hQPSdVZ2m8tal9ybZ8D9tLnGHWE0LMd5etvxmTcyuuSP0
QVVq0DRvDInQnJLSHg44nOj+sssm32UEfiJjz2x8Std5jC0SffTOlPIO/Yt6vglHCSVpJcqqEc74
CuDFP9H6O2/8xapvSaFSVd9n4i5dwDg0hNy2gDf0qTO+dlYBdy+s802jbokSpebatuP8jnLt/A4g
eP8elNfeCrboejOWLZgDTxhIj8Ag2k3VgQ5ej8oeXxC+qxZPXGATo/MGOnPC2Qmh3WeAUSOZeTfs
iwmqDBU6q6j8YVsX0t4NUcs5WPu97W0al63XusqSZovl0qS7xbeCC9cFerU0R/EHsctrume6Goiu
CdYFFyaLvo0hGEO3ZwoI8KSXMTmjCdXvkus73SpZPDxMlql+dZRKT3SExuLTZXjxsP92yQej9RUd
InPyD9yWfSxqOJD9D5wz3JMSSwYv5MXZhLfO+P5v7J1Hk+RItp3/Co17tDm0w4x8i4hAiAyRWtUG
llWZCQ04tPj1/NA9Q1blzKu2t6FxwU1bT09FIQLC4ffec75TCQhTVzj5aBMNWjkdtEHYxQ6OmckI
gRhN6HmjgXXKVu4LI4Vc+h5hVDdiSS41y2lZtKH6sTASAh4zLGHg0Rn91O2kISgoC8PTXp1ohIyU
liMGTORB43hG95eLPTR0Va9NAXt6yJIq8sexNUc/NHSMFo02JPWOcVxKH9Gwy/vY6RkSELNVEn4T
1IwK4LBAC+kcJzrGvW209yoS2tGt53zbgemsFzZCiNe6yqd7EaZEfllG2r2SJYAUIY8HTD1DN1jx
EoETESGuASITjQ36F8oaQwfTtDETgAQioCFzDjrVeLNq4PR91ppTPCOua5B6NVO2NiybiGdIFtld
nLrB8wLVPQOP/6wmrX6zY+/OGkeQUGjiLfJMs9LZwpDySHDqxm+T7NFSYn1zvlmdaPBdkfx9EE6I
QyB2M2cX6r17F+A8kjchnR6mZFauM75062HrJR4/oHajdpdmHlo2x52cYU2uZ/KoJea4NLPDJwYW
RYXIHLAWhrNF/Ubt86FL3iqmR7QSTQSSAaNosM+k5jWQEq1FxtXmnX2gtuO5r3kQXhTZ1QxCIGPA
pAF7n7NvH2ELQQvaEXrf72hF648dRc05zW3sCKkmktgvnCJ5sd2e7+xmkjau1VgFaX1xAFeaePKr
Ep7ds3SS3DrEuDzVOnDzRbbrMcBciiTzRG5X98o8U18izRq+oN2H2Xul9Vi9xyqZL5gTeGJa9Nko
PbPuyBqqvwmiJ57p2GCRKCxIJQGurqXgNnF/8leHK27u7tXj87dMDwIPShOaQ9e2tdcKZfsRow7s
jKLlpdePNraRwnuigaQ9CuVlt5aJjWUzjDZ4y9bMz2ZWBOAAA84siy583sACL0JQcvvU99bEoDE2
y29aWioSoXS4dJWpzHucx7JfsSpq34uqnWb8fYKgSOiLGurdQLJV8Dpw6XGkZrXT+h6RedIuLYgk
XmS2iZGLlzavu/uyEMWHG1kyf4a0CQ6tngb3LoFcF24xdXEm+2TuiJQq0xsv0hkEtcEis7NCezgG
bc40K0mi2wFTMrWhHIJNPcQbQtyy71wrMlnnUaonLIW8BXpaaYiH5rsUybJapTSOwONVKOio7chx
19yU3ELsguJJodDGFt9ZLs1CEqpWI63FcE8ootedXCK3JnSqsMoXa3F7DZiGow+u0cQogKPgJXCI
NqOxCN0lzjiroRaqp65ZHChD7G0yYleW7mzR3OhZPp9nhuFYQaTV3HV6pu4GGSA5agU0UafWJU88
KqNDHE3OCZKaWa0t3nDcGfbk7rVkUaKXeqfWZp/GfjKLlh2tjswW1GJyDX8+0FehLAwgXm75pFUe
ggXdacTFqUfOiJel1UmIkTOkLBXDNwolaReZ+QM9GV8r9JIWfNwIKbqJpmjjWm74gwzbbO9knfcE
ip0Qm7nSWPxa45LOZnLOJjsYNxpyP0Z9CVkCpqXo3Tk6XYs8EZNLGkvj0YwZ5XG0WvLbZmwduFLj
qPkGeC8qV1T05ifdqvyDGYt5RVhi+H2GUIFWuJm9ExpBgsBMcZhmhOf/l+tB0px+lIwMaW62/7H7
KC9v+UfzP36pEv/j1//5/0hwFqUbFdt/XjQ+vOVx9t8ub+/dz2Ig86+P/UMIJP4wUQChyPXshQxP
3NU/60bnD0o/4modUwAG+LM4/Ae/RTf/sBYAsRBMt2F5IQP8pxBIgm+xDT5lWZSiVJD/NSHQl7LR
9Uym+PzD5mjgz1Ep/ZxLUOPF7EAa1X4cqhs9yDH2a9W33IJ4V88tRrr0ympGGFENypKfztTNX7T4
n4OwEDR+ObikmnZsz+CcmJSvzkKW+almRSQnksGliasvGKpgsdRqLXq5ZWq2aju3XTGxM05x00c7
xhcxBkRd/AC8EPqewkHmR61FRifIwvHS2xLVwjzaRwwvAAUY4TAk9nBG1I13NuNGbrp66st9gCth
2gdCbSAuuLe4dOz0rHLYqJXjPJgRzx7LGX+hO+OonUcAFFapk7raOXAg45wk7qXpV9rtvM0cBIUr
m0bhxQXm9aCLqplWCm/8LaQ742TIRntwZws2L73w68HELeNSwZ/DVLDZwtz3SFWMm9llKw0lAJ4K
s9EdtgL76NHg3dmgMQ8z1ae5HmuNKfOCo033lovPwLUrp6GbFHcDZCe7NI90yyq1s5AE7EizBYCn
BU7Ki32S32RgJRi9DGXcmZ4eMiJjcMCrQ+OsNSSCTX3SnBgPavshJb/nFn9c/5EHk3gtrKZJSNPR
immNQomPesYwvGBSZzSsYYu6L8zmGcaLjffZgP1itEdZWEePnfg+TOqGwS+Nx6TSvjmd8M6is0ay
FjsahBl7DHaUadIBQWGX0xL5N46XTlUzFytNjz2F+Q7QTLpjAEnCTVLJ8lQgeT1E2ZjvzT4aHkKz
TCDjDoBb6m5GRC81f+643I2eireMKCnfYUcdrD03H3ep5l3nlLEnL8WRlzIFpWOfggBwmZLaQ8Rm
W2skjTqIroC7PZtI004/TUy31BqPBgGgyRCordIyLj9bfV7rIA9C2MXQ8Qxv21MLbOi2NM9OqMtn
2gPirBLFPR3aR0oGfGPLfY7GBZWJ8KyzOdXeQ++UMfVV126QojW+id9xQ16TIrmriiii8NY8uAZB
xCvbrtN7GTY0EnsbrRw+fU9rok2K2Zx+SxMP3xLZmfpWgT4QnGJRVJu06WOeFnR66ZYiPXdW5mBY
/ZYkI8CJhWt+L4jXvBPmIkRwkzZbduzT/UCt+AFnp753h8Z7bNvGIEwi6rRvOBPGU9zl1oOZOkLf
jOVYuReLjVfuF2OPbC/o7QDchqZVO7JYkmQ9iBjH75hWkDpaNHvf1TTGIPkSwzgltV7r3ySb8N3s
2hMQW12SLjA7yfdmrLObIU9SMMpd9tDEho27vDo0DNr2tIg/55adCyO7YZsWJiie0lXv8QjGbgrt
+FylXXSYa+THeqDQ14WV2V8cD6GzsGPFQz3q7aMzGN6PJDCDg8aQZ3lNQ/sA+AnnpwEGl4oqqTZM
pZrzrNeRDyC7fjaDrMJSOOgXUc72W8A4fAuEIv40HF3HHj0U2K16eV8Onv6Wh7Nzo3dztwuigFM4
yuYxSJDTZX0jTnRn8pcosasn3JXmI5A96xA16DiUmtpgQyY25CMQ6sNONU0GW64ga3XNtluvf2B2
LMIjjQOmbznaIOvRKFFb+DaffKlnIDnJFH0GgYmf1poQhvg6YXbz3hi0GcdMnEw+NGnMaRGbBs+e
4VMkXT2KdSgqoN9MyZxVg6+fHFXEC2/caePEnAsfI+YfLxYbDfefPzEthhSTlgHeeAVJdmOaBOJ2
2Me9U6um/GqGbdhsK/inIV07QwJrkfo3W7O9m66e+0MFUfkZMGodbBZRC962YohpCAU9j00fa8Eb
9pwFM9J6wxFUwPDUJUXrHgKjjoNNBXHyFoDPgs0xMZYFYTy+FcmoLm0dNcZVlEvP77XpdRq0AoVZ
yIkp+ky7LzpTfZBP3B+A2EY+G9YepXaHtns19VNbbRwSI164+efQz+eeITguQPzIwDOwZHVMFwSi
+p5SLXerxQHWVnh/rEHpr6PqzU3fRqm+zYmopKTrqvaVMWGDzC9V1jP2ZfFSxfCpBIOSH3HX0rK0
ZlqP7VxvodM318PoeO8NOcAXoIpesjNtYERsVWfYitkclLspJHx6zR+Lj1VbAe2AzWk+BNOSOT1Y
PPSr0mqrPZmDfIE8ndMQ/s884FnXMRuuwhR+FqzCVCnWTIv1Ahl/nO1K4IIthn67A7LtmKiJENMi
xcydUhJJsrx3ECuXT7x6AgbWxCUjrRp79ZjG7QzIMvG2XDLMc4lsITllDBBVwAsPtyvqpMptrxhW
49jPIhPIQ17mxU0VIEIC4yROSktd7OSTfUPRS2q2l7smhAYs/LoFiyWky3bKp3pgNZ2jY47sbRel
ZA6sXGpPwqAdC/qXp8zoTsN+gQMBN662skBZLQ86lK+5rQ0/FJ58B0XEfdtNdE6w5XjNZz0JeT1D
4i/XNE2xZAnA1muvbOHkW721gd3R3lL77czWGW+iQffu0DWETzoUolVpMCcOahqo2PHJj0NhZa8j
16tPTRRG12h1eGwNR7Mes7Lqf/REK/PMxLSdDUFnklQTiGr00IHamZbN/HKOTpOFcbnueSF3VbOz
RKnYQRjRA43q4YKFlA9HyCgvBvnlNxk1ysUaddwIg6shooRdRZehRfgRTP5MCCX2pOyu06J+pZW0
zNiTbWMRFhs2sD+snqRpOgrX6RSKVT5B3rYSxfH4oLPtg9y9asuhhCPrMLZGILK1lMl0ViYFuI2o
pIvjNLqZb1IEaQweHVUeMUNJCCDWgN6Nm4p9EBuhTxif82Vq8DsfZAwE1jESB/O8GVNNDyiOw4MR
5YiPDdL28Ot29QfBd7LdWTJufzAZrwmWbxfWaV8rtXd7Q5yYkPfGihz1GLEpJmCbpdUumhXok2A4
FLGjlppxZreWQgC6h/8JD2BqZ8bjtFMkWz6b96Hq4u65tRvjecB06JOMPIOxYqviELex2I5pQtCn
SSoBLlil7q1VB8OTDkyTkWsfp1ehpBkAN5Ddl183AjgScZtA+Iel6ZVPHgwU1HMX0NMMXQrXekhQ
xgNjMpJrM6Q1MzZpTTyl3mWInKUzqkMwxhbUqRzVPdp1QVEL3A59WWWn9YeXGlCgoNpS9ZtDMt3b
AHujFTt24KfFlAh7LyAGnTrNixoULmV5ipJcfbZuyGHCREeCzHWhmRWAfwZe51gsYjFhpM2pxvI3
XBe5hXK5DjUI3Vne95BVQygZ16EYZbGBI89VV9PMCUpSAm03KRtiewvE1rjv6wBWURe4WLqT3jD6
Kw/Psdzqesqmo8zom/U0kpa28sgOmKywlT5Z6RUDH9zDTPvlA4pU4xnOifPMQ530V7pVm1ChovE0
s+iA0GCpeJxU0BfH0UmjCjgvBDk6eJ5tbmTs1WxZ1Yg9ssi0N6lVcOYZKLvFyhVso3xyy5f+BJVD
v22Fg3OZa+LVV9EUBM+o85OnGoJKfGL8QDyD3RISlJV1t43qSvsQehKQzKj/aRHViBYaB5biUkbJ
izlY4KDiVGufudrqTIclydZzbhKrymK+D5rMOM4WCmnPDtpTXiY0Xe0AJduKn455AZUKoGZrvCho
9DQYojAAKMD2CL67V9kPrTAqHKW/r8e+ZFNhSEEdIrCfLIY2rGvWYhn5qRwrjK7tstjCKQoj48A8
63sRF/d0g15ML7837IIXq0t+IJvMbw0+1tvfH//XmKe/Ds8QVVrs7oSFOPTXw6dBYzCs0lq/DvA7
YM4oTpz87G8S6v6saP9PdNlfh1kMeaYuOA4j3V8PMzVzbwyzhaE4bKkJ+07BTVzmVHsrmmW/hvFE
so3hFdE7Q0nN2BgDXcSVTjP/RR8nGzpK0Z0clbd3KQC983LKcHgJ46INanoxDAoFMMGM7Dvei+0N
kS54Av48Vf8fqfs3SF2XXp6xjLb/847Mrkve6rf253bM//7UPwb5jOvdn41Z/H1/DfId+QcTdN6v
hm4sLsxlxP9PoK71BxhS2i1/dmP+SoxCXthG//O/G+IPXXdN4K+WYeiLo/O/Msn/+hQIjsDEm1wY
hAGu7n5xbHpG3DsNvBe/xUEereZ5mp4jwxkvP52Uf9d84S7/+Slgd+MgCzccDxYwv+vLYRpHOJi/
Csd3EOF864Umt2w8QoahbdrvQpIa/nIZ/+c57Uua1dcjOovtjaYWSoVFjPHz6uLhsZFdGji+q48e
O6Qck8CarUiObs41UfYyHryXJNLt20DedYPwyDziU9+KydR3AoDHFUxt80qvesPHQQkMacqGM6XV
fNJHFEK/P0H6stp9/b5ccos8QI+IUPfLckSARjoNY+Giyi1z1I/QPxpX558pm1iKlECyoXAdNIuy
fK9LMb9jzRmekJGqnY0i/hO9Z/oICK29Cse5/Pz91zP+9T4B8Gyi49ZxBPAu5Cb++XS6XoUnA9Wd
3+nKOsezno7rmCbQxm2G6DjBl8AUq7MFy5ZhnNAEvXraWj7fWe6j0XKfjQlf2zRGR11XByK6b8dQ
Z4sT9OywVryp01fTcuSuD6z6JiOX63sX6vSsp0rd/f63fMmlx6XMzSjpewF2NRH0Lx3Sn3+LjOdB
tJ1p+wo4yAkOhaSkGZHCjgo3yVDHxIfleCIJ+m6GdwR72I6yvFhISTmOXYok7bZj6vjqWD1qSV2n
QEg1+2XUU/pB9tmtY2NTuHgCXJKcrwuz6w+EvRClHCavygYZGAf2i2e35qXVIKIV07Wc4n6vJlQo
aZ1ReUBoOcH0A2ViMF7DVhLrwTbC2rNKXAjNoKMsZoyDea6ViN4lgIkZFZqpjrZTzecW4xAsA2yi
ZLAJhGGJoXnQMecxefn9ufzzwf1y27rCtJEa6aYOYOHLY6bcHOZIM9kEP5n5dSnSYlsmgzhhUN8R
qPypJcN4TcVDKZKPMsr3SFGGT6fK6u+WqtpzFQ49+VOV4R7Iesg26NDYvBeFq6+1wFQ3ZVTS0eub
kEA1lU/vHi2Q+04F5dHLRu0FYmh4UjPpEWtmOlQfbBRPMu2Sbds54m9uHFbWf3lGeTKXVwJ9dZtH
4dcbR0mEhqBlHB95X38Jc6MLllMLgpRl/UabHMLIEU7hrcnoyBKQdTSVzdwUj63ao4CRjzaS1Y96
CMWP31+H5TR/uQxyua+ZBDgOPt4ve6ksnHKiSwfbH0hsWuMA/Iz66WBh4Nzg+7v6/cH+zWlg18RM
gHGB1FnSfz0NhAc6yG9a20c67r4IBMDLU5xc//4o/2ZB/OUoX55SfJOx05hgSVIzjj8EmdIn9MU0
3+BxTdvfH+urmo0zt0wlvOWNis5hsUj/vCJwS1J5Gug8C9s0jqaWz+8zYW0n9v/izhgxGxPVhy9p
BR2/uPGY2G5+/wX+zSn1LBc48pIHa/Gvv36BUgNpWkW27Wet2z/pQ2Ux8Jzdv3kLG8tf8/Ntwj6b
jYMNhp84VoEZ+9fDGCy5izXX8Xu7vlONEa7h8e3Qqd6O+QNxKddjYa7BNLwv2ADiobVr+GpET8wl
fTpzmDZe1zVA763y1mkUQ++wZR4x3jWGQmM7oQZQMdYmQRNUIXeFNoprdoNT7yOh7/T7U/b1/rCl
xCrEu5J0zMXw/iWEGT1ZWnVO7fpUDBhjOwR5DliazeyU2t9cnX85bUy9lhcfBnYEl7b8cntEc2Bk
LkWtj64Cx+WUansC6DAE1kW2NZug23Oqvb85KFvBr0+1I1AxumyXWFkZwn29XIPR2kbOVJ6wt+EB
43bpm6GsmT6Mw4tJXIyzIgX6DkAmsQLDqwupdhnZG294v3Sm1xGoe7QzrnRXZuDcNIoGNIvbQudQ
u6wl4bAJ4tfAaF7LXt/BcStXUuLkbHLUmlUGx8sdxgP9YEQBbiNuPGcgqYCATFSXiB6XvvUqFpPY
1npgn2G1jxvq/JMytGzrjgOzmYD+F9Ewt10VeSvCexCaizv01WsW/UNqyftFgH09O2+Wmt8LGmfX
BQl5G3Di4UtTat21ViXGdkiacBPMib7KK9zINaDlXRY7BV0jzCKvE/6qzdjFBVDfsenfjcyrd1ZE
BQ+cyrRex9ggTEnkD0r1OC52tM1XMa0ErPt27dtBztBOC+FV2zaG/Taz660Ni9YvYk/tx8ymJznV
OfB2Asz00QGoZyQkCuiJxTu37owPON3ynOcuOkaULIB/Uuxlnt4H/jwgWdoEvKW+pU0x+DEpnMUq
mdYqc+5thSq0rRZPNJkTuIDnCmdLbUbWbRD1hMnFkz+aIBnLcY9qf96hGWSc+NChzZpGa9NOhvc5
DchcsNhUffeRsLt8igm035oocX1P9s9EVF41+dhsyW/vz4FR6U9VkpiESdVghCZV4oaYMo3G1eyt
PLO6zb35CZjoQk8HXNCqugbXF2LUSCVJNLoGxqVm7LnT58y+aXuZv+PpbK67WiIdCaLwE1mSt6Ph
3exFJdVtk0n9pahU9jzE5q5I2hKKSzLKm7LMFa1N+HSrMRQE2eUGpibq/Okxg/F7a4Kqe1SI3NeV
Vk8PWhSoHSnQ6QVYaLifGU/eIWWKLx0SsHXCrHmjV7nLkR11CWat89MBw2tnIejRAvgAjB3si1Gj
1ou4evs5ydvbqMu+1707fU+WX4iGTdvVQX8jMEzP5QN2NX0t8+mahv05wKW+www3HEo9LX8EgR49
YGMBu2J2MRtwxJqyQvOlwaLctLTlN/PC6y8Zw9261RAhnCvnjVCTvi7BOH9K0cANQ+BzlcP9vS5s
+RFV9msBUtljAlIqnGhGPD67jVvurXBAvTbRZ45M2ExdE82kmYCHQgr9XKvmGcxNlyC30+vvWam3
T6FMnT2t6nznmVPp0ww3gA0OdNlgIm5qD5JBUqtsi8Y59G1mJWtCV4onqy60c8y3Qu8V8IfT4o4V
dtxjCRkOems6Pn8KWrU7nIKm/zDt8Ei8IBObxCNpALsafug44g9oYXTfj570Ydtq29SU8jpoVOrr
pSbvzW763ki7vMvqgZD6jlWBZ5CcYTOG7Z3bN7MS5m0X5VwToyOfl+FUd4W0bOChwnQbeQPzKY+J
kAEk2E2WBCdzCTGfooS21hw9tohK+W9qPgoB7M0uq2Y92ayONPxxCjtVDtM5St5Aq3UnJj7DJZ6D
7NaeyuHc2lrua2jTN0RZ7FAkvzKfbrYhvf4N0XygxkS9YVYOblrLk0vJFBCG92j8oCHaITSEZFt5
kdjEaVjdGFqOADegtHO2KI6fAEMi8TYZUyObKza6m4L1F90dactHHXJIZzYHQoQf4BIV/GKV3jKa
1aHJxca7mMfsTvUJO31JQ2mXNIYrVwS1JZsRwGBtONamUNG8r0bzXg8wj5J1g9Ax6NEAdLtiVp3v
1cb3oq+OEYkVhAPScAO/Ghe9tRuUgztFE/clIeZM3fpzYSO5HroyqVa2UM1LO+f6RlVDgVOY8qxf
RbTotxNuaqrruT62ZKXgFzR9msrhpZvpcrfGoK+jwZyNtVuOjO8rANBdjEgNI1BhbR1UiOtyCK7Y
dpRIkpL0CNmtv9H0uGJQUBSnqCzVFWLg8s5yqluGW9OKTq72Flt1+TbXIt3pgRs/LdBKvx2tGLtQ
bb7wrTH6d6lNqhvjJVRO8y5yVPTm6VpyVS0CRtfhzVkbhCQC4fT2PWmma0UE72nKJmb5YZkflIkg
2JgA4aU1U/VsUN22rVi8Sdm5rfXPNKKPsHK0qXmQLfEljR6pG2PIpjsnTOVRIUkHCO8mR2GRqGtl
bfBczN70gu15ETVk+h1s2mpX2BbvwshIdlZNboEsbYLMLCghfSXdFxUKgfDMK3Fvh7xuo+lG0Hre
jKkZ3tDZaX0Qs+VpYEZ5bPvGPgVmZ/sROukHQ0TxLZQV81A3gzwB2mLW6CXhuc8l/wYH5FK5ybvK
q+QBjS6+HxiOe25Rv+pACOd2tC0y9osrFKOsLl4UkWwNCwA3lOtMB6IrAdXVV6q7tkXs541TXA8Z
potQjbJd68oJfK2TOADJGL1r59h+J9Ujf3ENsHqEMzxNgWVjRyNRGAkjrPWhx3LWzm2yExZCGs1y
8qs2rRzWMKveWjRNN1A9oEMQsXFPsBDDmhGJQs8I2Iayjb12KybLWmV6VW5mK+fGD1pCKzcjcSMH
CDDzoZDiWVqteyP5/KobNe228JLsPMfVu9MY0DLS2mQHnNWExdbdhQiOvdtYn4Wsr8J0Dm/s1HM2
49SnG9gyCc5IznOIeH5dkTO1oh11bkJQpmGwZqMWbGt8qYoGATT+nungNQO87hpdQ/hIienoK9TP
+tYDA4EMounrC3y34MmtXf0uz1txxqKqruDpjOdxHJv3xo4FU5kqih6Ggi+jCcv+MEfh/ZBxVFyl
cbwgLfmcHkhtA2UVWXvMpm9LMKPZr1gXpjciS9xT3jeThlK5BNfjucWdKtziAAynJx1mhJOdmJoi
5072u6ZUJjhVPdYftYA9SYLkQm5Km/d1T/unXOXMUXYMoElQkl0VPFhK77j4GckozZCHu6kiJoJ9
ZuXgi43AIsWNAZjb9saX2p2zcFM3WVszwIyCwE86M3IIA0m8Sxql/dZItWFjUgwhSQk0+xU1Bf08
FWRQuTt359komjC9EdIxDLl39rJK8eVB3eXsZxLT75VWNasM8tL1yHiLLVPdqGs1RRCg+uSOIdd3
fELP6EoYskQTVkqw7/uum19AwvJAz3lFLEVa7zvGKD7cB8gGy+sG54rL7raeq6VFNG6K3Kk2KpPd
yTBrfRsFXbR1TeY1ueaiaqjzYDygHdoGeCmAoXpb3q7wR0wm0eQ9FckR64h6Ksb52AXvs+XeycF4
qGX/BmX7QC79NyKEXiLDsvY5rofbqhdy34gC2rDIXaYWMm03WRnnm1IsAmwyurxLLlQN9YCshjzT
Op1WFBDuRNrF2bPr9l5rUjQqiP5xUSuju6QQw61VA8brbRwgyq75Ch1Tcju8zbzxPhhzc19aRfE6
EmYCJW4A9UtrafgAVNDeAw2pdthzSctVyt0X2hRCFua19w6Tp6f5qoPSsxywAIWpdjzJktTWuryV
BIfte6GHS8LFIhfvpI9riqj60Lsyi1TdOikNF6KG4gq4U6wO6KaGJ1HHvHSk7Ak3j0NbrZ1ypmYV
cTutOpKkP/nMMscmXHuDlh6IN9sYwntmJvNX6SATn/1/c+1mXhz5Fq1Wvza8/NRbkWavYiITtsDx
3R1SX3AysVWawGEMbVs0nrzXRpeCwaVp+Ih4oXylYBdHWhTlrkaSycPdeTsNufHKCtCIJAOmboK7
W5qO29FsBbJ+YSDpITQ37eR8o/Wi85G2ZGyDsQYcIJ5oZxGR87sCd5qeMxgK1zWbD9+O0mKNMrDc
LSywTWxa+jEP5WPWiysjb8rvcxeSkhJV0T2j9fJ+tk1t3UFXJSmU5RQBnnPreYb4hqnXu+tSwzgb
rghW/JXhj2Up/JaHZXTf4W6x+Y+pfqwTPOUq0bxHd27bBzf1Um/TtfEPFpbsEvXD+DiIKUY27KYE
ssFL/YYWp+I3ROk+Yph9gp0QXvQ5rMAOjeVVmWDnV2HXXmI9Z2SvGeFzrLrgWhGPxQNE72UAlXbM
2bA9E1VmYnjpvGzHngfFSIWr15f56O2r3u0xXZCwfE1nsH8inH16HzV0P6XXN97KKYfmVjSRSztl
rqd9wX7tCMjB+YBbj6ZsTor41uRWvQUbPhXRShsM42C71MdRRjW5T+slkLqIh2xbJbLY45lOnhsA
H69VYgncwoLBwaqsZgGDMRySx063yRmWk+5bJMRBSM5zChsZ5uJURX100RxR+DpguD28D9QQpq4o
A6P6htdkAmUFETVPyRJ/NcmJpL2ieNRiLVvLTNqbSs0BxWHRXlJ3vHUD6XLz92m3V/wEQgelKmAD
dxBkBytja5lOZIeuPBy9A7WVtO80DE0bt0Z8ZQWIHMgXCptHvdVpmAqs+Cv+7+pHpoLR75lWXus9
MhVYwgOVVK31b3YUJK8FikzQS7rd9uuysIb4Dn9iu8sqrHsbbZ6AgJdWw8oQTnf8UFroqh4hrwHD
JB6inXaj6+T71NQEFu8gaD57iP6U1nQOC5BC4GbXFAZ4CjwckKTZB7o7bfDm1RjOwkrTrmEUtvKo
T042+CNhC0To5Xs1S/Mum01vH2txNa3yviS4lh1+UvK020r61JnDNYDfiqVgnjsY4mnsRdu8IEil
LXs2t+4slT819WScaO/hf3Zi0lcQjiQzEs1KO4yoXc+p6TWPGIZQFmoC21MFN7PR5Pg5Kw+tBLX3
EndY5t9tXcHTUBmvSKz9LP9i6M0TtIX52UDc+hnRBzqLGRgyP7167YKhsVcSSMMVr0KWAa4NIpyp
y2V9sWU4XZoSLt1KdjMQd7sXJ7phIet5n2fDpjezeFMFpbqOURZfSmEn3ygtKRfdoZLfk6RO6a6z
cD9XuExTX5rDMWkjUuUGpGloHgdHvTY4ErBEWMELIyWeqz6LKfTi8r7o4fYDGAvTrSbN75lBA2po
CG5pLYYn9DNx/85XaUqGNlZM/D7FrIV3ZC5mDyP5rltTqPCoIqlfp3aKAympOwREXV802wkbOs7e
yvCVFtetn8NJe4a72u8TXl9PYRouABEZOUSdDDpu3DlJ30q2S/4wlO2eRzU8VrLTbxSZECRcpi0a
utEAU79uR8Ax63GcAkStbsRbcuznc6LrFAZUw98Nu5IHuqvh0ejHj0bvP+oGcw4lwCpLYv1g6u64
kaVpba2BJbS0i+6pJiLjSnrKOyVWGH/0bh7Gq7mMpwudLd4MORvrRWjoAoCwdNqgNUSxeVTaB/Fy
KJuYrX02hj00JBzE2JEsOE7e3RhZke07Ri/S1dzHlPb4BsUE+nCyVkond81aED3lRL5BPj/Zdd0z
D5yH77GmIPAgV26v/xd1Z7ZbqZdf4VfJA4QWsGEDlznAmT0PZdcNcpVdzDOb6enz4XSi7o6iKFJy
kZtW6y+Xq+wDe/+Gtb6FL+Z+TAb7BofO3ubHioJ0mKHXQD9QlxGV3qmbrAHT7fKu813kzoSTjiXS
yQ9yWIBGckTMQbesP13FHC4+YPt9dzp3wlXjiLeeH/0MMdcBIVQNJ3Zcdch0SbxyO/lgFjAlZtFi
32oYVHxqGXRPRe4GrbHeJFilL57sRsytbfO5FDPjtlJBa2nodbUZmbJoIf1jRkTJVruK90AzQEFS
0hIxw2U17VDF2ZiPzPlA6Lp2qPW+CIBS1/0uVmYDLVyr9rrVOafaMZGRcdIZT43byd+MMjIvQBGI
uFTLULUb/WMZdcm9YTIXRMMMe1wqcRNFyh+IwQkXudSx77qAMPjEwcWtpsXS1QXXoRLvUo/e26QJ
h8wnKc/50jU+3jqiQrB8BTZ371mhKrvBcSyxmKft22jI7IKEm/wrwt5CQoEmpE44ky3Pm27myc0R
xOraEnqYAOiB6K8eHOyWe6SD44WUrfR33EG3bwoIUcJmjYaEvHoppZ0/x7Fa4U7Gziv7+pqWKI1A
F1mqFaEbk4NUyMwQgVUNG8CXdADRFObTsFQe/WwK+sraID5r3+8bQWBmR5iI37f5WPkWds+dZ80w
8iZqScCNdYYmDmCWD6AiSgIvsWLKrWX8yTEKkE+C0/TAs06U9tEKjZQttLtCAGmbco+hWj0OBmla
BeV9zWnqIpdSs5nGiH8n7SEtluy2revo7LYlHL2a/NhpsuV1tiqiI3Kj2kNAzwJ77OmBSHcKiGVv
7rG13vcl2mWi4AkxNX+mtfzwoBpD8JJzCkZ2bENJLG4fVJ30h6W4kSqyj3gI9Mem/o4lEu65XCbI
Fn3+XCWeuTOKMfnTQk94cjrLelaoi0/YltdQa8enCGQHh7ScHidIQ0dV2PntzE1aqRLefpypR4Re
8ROqufLQDx1pXSVTZga64maqLHWwZTPsVQ+rlGXIu3I7/aLHhXaYo/I0Fp1zUBaPEaa/PwPdyueC
Dx8M5uwrMrP82cY6D1SP2IamPOlmXYQEPOQHJ+mZDeFrrnnCBaEGYk2eB6X2K/tY0VZ8xuy6Qn3p
f1u4fi/xBBjEVUNnkwpu6Q2izOFYMX86WJGu9jX0JrL3BtMNTfuuxe4BzCZvRkCMvdpni9Ng4GC1
3MCWLi5uh1qk0UIvq24RTKvNvv+pXC0+wJw1Tgh6+Wq3kA9K7/y6l1dzHY5aQ3+H0su6dG1yx+wX
5KlRHoj/eqg1uIq4FSeOJtphcypnxvnjcmEA9pJ7FmMF3SECj0TIFJYotLTmBEjrEhPPRy8xF59i
iFI/F93PdY2vwM6RfsdpDfnbMGP8gw1J7Laj2Xsc9ijP7fTkmEtPwpHXlsTsVWyyKD2ci63NOWYk
GmRJtAdAG6KsXJIhGVLSTtiGN/+ETysv5ZhbgaglTbua9zFnbqA7cT4GMMp/ITG2nmQbVyqME8AJ
2KRNubeWbDgW8ChAFVh1cia+MJcHURr2ezcaWvwR8R94PbtG0vd6xrOwHGw1E+plEEFjmPPeYnNt
ZbjCK0X07DWMMrp0eQBDFT21DXEjqfJq74A97LSJEmO3NYmWMXFHVuM0LUdsRulHBKfNp/PlkSLr
ts6eNdLtWDkiZvc+4jTiIDZs4SAUh+Z6kSn9iR/n0pjePS/LH7wYoxg2IReV4aLYj7Cgza6FPa7+
mhNvNbUmM1GJtVHF3IcSmfd2niLH3EEefsymMX9Sg8Vpy7lRHUS2MtMEcIOUVKbSeYeRqD6W2rQ/
yX/LgTJ6iqwej7q5p6/zzXouSFRAvu62izEcM5vrvsAFyVonHukWowZ1CUG2bwyKsb2aU8cKc3DO
mMOY4ZPiZ1kDMT4rTAwdZAA6hDuRmae+bD4SHck3e647m/s9ruHPafGlz8h+sowJ8b0VV/GDTUFy
wxOXvEc4NeiI293Ux/rVWYzPzp5VEC9mcyzGNmW7tJA8nAHEKr2fZGc+2u38ZkX9POx4cXnjV9Ge
ZjxeMRTDg1V19a2HXtKXHQ86NCDclra5iWwM9cjdXXFD5kzJsqIpQ9oAOtVBs2bSsdex/FpRb/qd
JXpoYcSHIifcERZGz2SNoC7RsUR+4/XT05Zx+RIrpNZzKhhSF3Z7myFg0Iv8phdaFBqzYwSGmzCk
IBQweqNfKPUQVVobOLlYT2Mthp+pkfWl38llvqwDwnUfKmZG4ZuyFm4HLt1SxRx5iY/3frdksXdc
dEMFOq2OyflTYjIoKvupxbBCocX8NNU1liN29t7HmnFYRk5cZqvzTVrbYBujeX1bHLq20meVxWRD
8rDcya58myZDPMTglICLD2L5iXMvPyqq4xvLG+Tb0q4YqlvWepREK5LZbPH0m7nQoF1iKVaAWoge
O5R9HN0JRkO/6U3pQtYsuk3HmEQXgjpGfpNa4hhhZBvFCy0ctP+uO4Dt8omqBO3saewL+jF/KbE/
dKqZYLZMrwNASn6D8QsL5ENjuM6xYJcUqrXrfZ2EIvJKO5sZd6Yhx2alyLmSvgw12daW29CZjDxo
u0Lq3Z9qTW+bdsskS5eDY3ZBNUGRBTvGlc0g3weEwgQeYkRiijHoUdqonWU28d5bSqwBNWoYGVh2
+gswtt0gamymY0n/+aZXHrNVabVQQ8z2E6C3jg7K5AGZ0g6nPbCb8amwDXP24ezkx5y4AoZrq3N1
EjJZzFkSAaUY1nm+bsUr/y6n3Y2VjB8SbAIkSFFZjE16ZnPCysEsi+PceQQ3d7qCUmqV0/pIblt1
RHg29SBmXPPo5npBtG+tWCcgu36DsZf+xgll+BXimicIPWS0D3OTXuzV4giDEXA/5KzNRjOikatN
7YJNqaFlamvr1IHNqXwJ0+12oo45j0tEDrPqG9g2Ce6iHtNnzcuOxtkKpoFfua+Z6jUnF5n+YyW9
jrj5w+QaJBR65kk6OBF2U2IfbFBesOLkYN7QwdW7pGOrOAZwzR6q5rPPUu2rhp/ud47SrvlW8U6r
mT6i16tvBQxuvy4LCF/rKoGvZ+LeYxz0aiWmA34VZ4Q7rhX9HjZ1MHOmbwPC8K2MWAZ2efkVnRPp
Mc5I7QxY9MKJO/uQpd294pQ+SJGz96+7bTPWRsaPgnHDGf88cu7cS4IqFfJRrQCOidm0fxueAzOC
qR6XR55tcVfAvkDuwV0hCGkKmCGJQE+w+4EbGN46qHBPBs/nQ9IYPEoxLPbJWutHG6nWrmYPhcxc
9EHGIcuAarROeqtDpa/yJQ2AzYI+gltwIKxj+NFGnHW1Lljow9VwQHzrGT9xqalk3HKk2CzFzgBK
uk5+W+ho3+ESp3fQdduAdaLmmwgVd7jYbN91QDPha5H8pgrI+ZVYLonmcuXE9cinA0DQ/dAm7R2j
4Vc8OuIGh/Q9DxTTeqZJflkM2X2iGaUKFK59OoctcO3WW1ldHzbfiTrUHJ4JSWb9eOSxbikfBSPT
qXRBNsONfnFavYfoq6eEwdUeOem+xm8WyQB2+Wo0oqPtlN1vM552gpl75IjhrtXK5VTps+PnuTZ2
/jBtePuEBIKHmGHRE09X+iOvGuNtMkUBa6ondFiz431UR+udrGpMnY6iv8RSxtq5MIA6xObwkq8m
gym3BHCbrYYLMZdwe2Rj8ZcXr24A5C0PPbkuTy1Juteq3LhdW1audLr+XM2wXnerPpqsX4zvLhl7
gKjai5bRfZGSWJxtktJOBM4DxOMOgSZFStS+t8b1lkHLcIK6qX3kcSxfRU+hjfetPPZagmENXNZh
TrN0bwwyLMxZfWpea57SyQSS4JiTLPzESK/ROs33PJEFJbXVvddyzH6TJ88sPYnXJwff3ITTSDHU
WVgfo2AImBrjns7435wpyfMSQ3DA1VGRQqmPQ/9kzGV/a2FbBTnvgr4aFgOPjK1NKoR+lh7bNGGD
Dpj/fhHAqOkhShjnRlKEDfZadFBAKhwvc54jwp1uk6amEAHud+4Kc+J95tUjxYwlprsWL0lXIiEB
180WtL7Rau3FqbQvgbTzuWy09rFWVkRoGFYbqlrwR1aavupaN94tKnaegciOjxre8SDLHiZGrXsC
w9VbXsv+3jbE/KZFxGtlCFEuok5dXzmReuNYeZN5IW5Ax1AfTGV+S6qeeamKXj8UcVLexwP+r8ge
889xjPBGwlbzuxK8kMmq4BwhsDrSG6Y4ixpzAGzjWPapcPr2gJ96fS/jdqN/LTgHS6FRj/WNru0K
6uRLltpEyFqSuSwWtKCXpPPFjTL91tqkEZVyOZri5lQ2krmPHA6dcNQZomENk9Uw3kjWqDlr+VeR
NJCWxgPD1vQyroPYM7PN+K4QyetGz084csV948B9L+HcBVpSuReFHWqXVX8m5jVy5s4oIjUfKKMJ
1FiEBXQpS3Q/6rPq2EqmxtKN390k+USl9OUybYWb45BNa+xnB4la28vs0LT1Vy7zegdW9EBsJiF3
wJebfLGCpByvcRdfJ0Aes+LYmVcnmLeodM1YdPbGScgr6yvDIvrOMU7F2DwtvXFEMQTVfkywRlYF
8ak4JW22QpCJZhZZrmLcU/b6Lja14wqpsRDWUWXL1WqZfi94aB4ZdVnH3iVy0hpi9MjNmtJMKpX9
dABh7DUnzm5cJ82fTPZfz3ZFx1ivKaPwsjYO/7zWoFE7VvdYQYf4Q0sS6wZKrb4nBiE/4ErqX77F
ef/bjpH/R2wOvGgeqs3/2gly+eo+io+/NYL89Y/8B8+Rjg2VqYFpDy29gQb1P3iOrosERocEgwnk
77gc5l8c3TUcBKHCdTCuI3L8qw3E/QtqLt3YeI58L5wV/yMuhyk3B8bfSkNJAcK+byOU0qFLCrkp
VP/GjeWpTJvy3IBOSB43WbWYw1QtMYol/IOu8LM7nyGBecGeWx8Z6g9AsjsSRV2wATcc98MPa9ps
aNXmSJNNB4kJrWx9Kr4ta56bo0Jsk6HaE7oJ7z7ZLG6jlFN67ey2/g3gXF36bzuc+rbGqTpV4z6m
V0p9a4XJEA6ahxuZJWBG32TpkpexiD+rxrZLqiVXYsETQKZR8Amsecs4z9UFIKrzAjIO8x7cvPlq
r3p0WXt0KGd38/kBoTV/RA7evz7Rprt6HajuRtaEO+SF8XnEV7JVRUnPIBDYztnczIQo+YhdpYFI
hx3FpTWe8ZGjfaXPxIEoNzOiXk3K3uffHsX226+Yx5t3cbJ1Bx1RDln2LnFg97HWW/E61t++x/7b
AylHpIRX5Dx4I0Hj4pNsvj2TSbb5J9W3lzJlDPMHenN9NZUGpVpPlw4S8+bArJMeUpX8N2fmZtKk
7MSvGX17N4dhLga/SoetwvE0tOloOvPfOfZccri/faDAezFrWjH2UD3ts7t8s4zyyVjPOsvvI17F
5TaqFw+py+YyJRa0m8N+M59ityC1EmXdHB1k3GGtxNkPx53d3yslhfOQb0ZWfXZFGqpvf2v57XV1
v32vEwkYodrMsO1mi3XjzSE7fbtlXR0UIAMLh6DZbzttUjJ6zNy2xQ06GNp0suYN5BKV8Rxwec9u
YA/6CBFACfEIIKw+2nGbPvSlhah1NIhlILpedpsigclzzqB5y99OLiQLw4lXhvyyqgTSV7TaGLbp
N1g69tHqndisZqDX7dQk1ZLFBF9nyJ/UYFvQq9QFytbVY3IlS6ux9hOcPPsI4ZokuUWRPBUoadEj
4AJ03uEdMBfShezPvbvOeWA1aH/wFMOm2rG8V3+ksSLz5FtUBBbpDaUyhTMxBabbqn1kMH/Zg9CI
HkpAATuzWXKYFDM/GO0JWQC7pVoaBgvm0F3bQuafatP3nNxSYxgQ2aoLZJHVOEqodN18xxtdPnle
ivjJUS4J89RspkZEr9Vlrw2CAhTQcwh8dYKTo0sPooXZejyOkomWM2VHHVL6a2VOyEGqZQ2d1Fqv
sdcXlyUh/b2dwWFjVJyc6WZhkWA8GF1av3aTCFjZiqNBs0u9JoYmO1tszJ/iJCOupF9G8u6Mfj2V
3TaPzDMbogvNLrNFkuz5C5DLkl+npc0vwYzzao4GrSjUvlKdNTMCx29bLmysdllGlEYCVEG+HxVj
nm4H2QxqDayP9Bckm+QRTPyWrrytCvV4QHoxLUW1kttRGItv8MoQVWY3APEnN2bbTILHINyT9Fa1
0r/jGb/RNC17HZaBRr0VA9FmarYWovXsxFSQwoaFY37zPruob3IHDobWth81juGq30QJeo62aAvv
4E3yG1tZPppkftrdP9sQzTFjqzYkgLa5781xOBgNUMz/k2v7Jv3d4bf4M/w9ROsbKPz/EryFwZLr
+L++2/+l+ky6j3+67z4+v/rk7+747z/5V/QWpk34UohqbEh8/4DechDzC4lVwcUNaqP0/3f0lvcX
AwqBg5rYYQKEteCvF7xh/kWaJHN6fDu8k7r3P7F5/iez9fZXGJgXPLxvGBj+0SCEx1MbDZUN+07F
U/+UKNd9Xh2NABK79uSdxTSnDzSjbve0o/Xe0ocM8URs/zemBgh1my/j7woNylXKIEfY+PnwD/2D
FVS3R5lqi2eGtdH3r7mLyTySXnQa49Jk65KSWiAlK3xWJREzj4bQDRfJJ3p7ML78p3SvsYOEGZKU
P+2kgRZKNgRwJxLGgjKO7Hud+OzTavaAV8jYuU2QJLOfB2AQWq1mPiR9h6gHqscJO1rna+xbyEeI
C9SKHZkh+L6WsIIc4ie6woJtWo65HyRLgIyR+0WiKuXNN1nEZnz9sptA+pw6eIMfICJNTNjWbZkK
7QgcBOHbykTyQ7f14sYW7PF2Q1soxq56e5nl4KcMT38JMayfBnp8QPg6kN9F0JzmEyjcIgf6guKO
NJl4qn8NjtufyOLo7hJrMM6wjM1AblFAyGiH+1iKiI2fuRC5Jc4FSpM5JQKPHICYPBikcbvMguYI
PV++GSpi7CJ18yWhCNgrol1OTEwiltDCRLASa3u+REeyEcmgnpLu2GM+u8aamE4j4WVsi4t9tcTc
hFarLsugocPndgkbzk74qa2Z+4r+ApQ+lrRosEifZpTxbGMiJYVic43CmXoqqsl+Q30RhR3yi1B0
un5swM/wo7X3aw56s5TadAPYNHtWRHH/mKZ23Gd2Fx3RwpHfWJtp2NYQWsXajZ9tmaEeK/PqwQJE
CyBXaupmasrunMaCaChp7vuZoXBCtlmlXdw2kXvOcVgjunOHXA8Yl06V5q86uYJku2NwwX3mEMZw
yMUyALuSTWAlC9zFRAuqaMWhS5RrT1teqFRCl4G15Ki+CiaSgKCFWaQ0DF172+T58IbibKDTYle3
xvHAplzTfjkrKbLuWC23pY2g3Ju28EYeq70F/y5suNC2/yc/4w5PxTQ38Y+VK3nrNcflJramjWhT
Gw/6LIx7RRVwpzfaSv8+zsG0cvej+7pLN01JUqr10MTD8FAUtjwUhbU+EK+The2qpXhdt9gQuab3
jOhYebAvC4WZ4oZjpY0uFLiHnbRINSvd9EdCI44EODSvBfwrPk3mveTPJGHllX/ElMShMXnlc2Qh
QXKWzmGcxndXSSuP4+yt1xkz8AmanXuoQBCHArweSrDSwYqmeV5ISJyLdiNqgo7MvWMHMS7M40Wf
D47N8h8bSmfvFYhdEm6k5F3ryfTTmplEsqpcymPGiOC8JAw0lZjlXdpr4nFEmaBX/e3crOvBG+vN
q2Rhe4PhElijNG5iN7nzOGRCfJ938HSYe05IEPUKAYUh0t+MUpM/1JYUKNimfMJgoutiTPrd6ogW
2L3hHYUq5Lkbx4Z8J4sBGHhnmnJH3jEa1v1W2dFjXFniw2zc9EwanX0cJqV+d7DKHzmZYc06dffT
bJmXG0QU+h5hc4lP2LqCE0cxnp9cy/ZnHn4mGo5Sy8Fe0XcFCWnCC8OYrSJMKABtNIoNsnd9qmDa
MRRQUxOTZKllexTQwk9AD5M0GMWJb1SdMwRmqwu6ODWKgf3fJJlbRK8C7/GdVaYE8pm2VyNCSAo+
Zy/FkfZeGq560Eyaw52p991rjz7Nz1m/3Mmhg9NrS5xGIln2nGnLAYhIRchmmbw3RjWOvhszR4Jn
rw27WRB3szZTxaCftaq4boFQZ8eyIisUjfe1MISJ8dZWbTgRV3l2i95+s1Jvc+/QMMEOEKw16ZsP
FSOidech0PmTwv1pwggG2x+nhzYYMUh6I5QatZys76pE+9HOU49ElRRIcE0s1KoUgnZTGFACFkle
DgJX671wcsn0JInrN6vsipOXAdn19AkE2MTMbSlLFNNmNBUBVSbm5qGNinsjmTDSQQCy5pPMltG7
NmVk5F+IJHr1aNCIPDHvE4TlNVrz0fMqfESRWb3WpGbihCacZhcBfOEVQo7D27tOL01mdRqXVGS9
xuP4lqNcuSwuOh9cBUvn00CvjLyHVCftXUwEgWzPf9x04rEiuRPXZkUQ3ZwuEgy+aT9yFfbuaXKy
InsY+h40HtruJ9W1lASGApQoEEjat2wr2z+ghHCfJakjf1Rox0mhd5cTC2j7sACNuGC2dL+AZRn4
vkw9O2qugfsgs2bklMjtnswEnVu1sRfyvHAOo8GC2eq1Vj5CZWjfaXjbR4vT+gkVWHvMoNft4z42
2c/niSsRobgz4UGROLK2ikOHJex+siIg0+PkvPYsat27HvNHdh7zR3IZ3EtmZoiZrTxGxV9HcJk8
Fg8/aq9L3yeb5Oxd18DT3zE0GESY1sr+KVHLVnfZilowHFKSK4i9dYlsNTYJJyN0mhSMKRy3Guus
yZ7eiq4xXoQ2iSfkyuXZM3p7b4q5vosw+r9UgP6wh4E328mRb0GtNWWBqDo0ATNr0baGVWk4FklX
nqs92ItZHwy8Fn5F9OWXk87m3h2RtPtmHI0v3Wxg7cnJNRsZRuQzib6lOYQQOtiur8kI7CsusQZm
xqQIYoxPEcmDvxIHyXzN9vhHjCj4xhGw3xn3sTsDsuqjljX9deT+LBlIahhjTmw51jtQ0UhrWq9H
kaWXGrWYe5jnDCBIRY5M3/tAKYb5go9MsyBUTYocTDCt05kg4+RMOVMHi2lkyTNlg3y2epXMPukf
1XRgYm7c523Bgh+6wS5fmWL7WSe6R/7U3s4WwjjV5jYu7YqGVHcuU9wvYVJDi4Cr3/VvDQRVhrj2
wpbFHPYQ+WOuI+Htq5Y1FfnlxSGq1/huRPWyHyyeUSvp3Kuko0MP0IFPZbhqfSX6ae6qN6mrj8h2
sDjkZ9N568ZJmH4xYuq0Zq3/RX1JcLRhN4j6sXmQzrm090WHsULkUUGqJ4iK21rjsjzQj5Gm1+fe
wdXyLIjzTagc2dYxY+9xwBLjBoDOx/a2BlPsu7YyIDQgnpkj3Vju0biZCKJhOd5IrxzvEzvRoKGI
Iruk6KyfRxUhgil0/YD2qThlvZ0h80tEH7I/XL5GNqkELNfIkt3B29Ln7CwNvKx3BGZIIcmyNURd
hnXpAuGYK3rziH0y+e5swxAHuP2c4mNqpp4FYhkf7ZlUw7Xumr1EWnQll0C/hZXbmtS3+etcJ8I8
I1+AkzgZTnT02DoShw2KbQM9sEI3mHPwI0++RMdyxBZj/FJ9LO6tyeypq/tFf+K0SWweXKWaIJmh
KHZDFJZjRPRW7OE1dPfCyYuQoqc5xMQTXCfb7jEAgtKCIDj0h1EO2hnY+EcroKq2AjQtwQdm8aUq
J75D9Gxz+w+4abvZontQS7QEyJyqGwcTFFrdUX9FGuDdc8GhVdYnmLGs7VEPmmqPWZ1nYq6jP8Dq
izA3hHM3M+WhgHbU5lFzDE7RRnvVJCaCLXQYg53XVPqBzS77SSQUj5h9rU1oYorbLtI9P/XW+YMs
juhh4RQ/mLGGYXmwKcsMdgCkOn51VlP6EvQlcgY2tNKOI4rO1UBlNCG9pihIJ3ERfEJhtuROOKJX
wRPrWKHkosGL1WZhmUbOzZIUyauhOrJg5LDvcyIGQKhANe5pbhiwxvlF5p3DQWIW6kgkBoUbuqQT
BqLlwZqRjVhFhZezeJFm+QVr5m4YXSyURpL77Zzre/xF00lLXW4mHFi14/Q7aQzrXdG2JWTBTt3V
VF+7gSrgmqx5cmTNMp0d41eOimMYBmJcmI3p8bwchWYl9FIIvZZkKfcGF1K8G7/NmxBbjzIlFhW5
HZGwJwJVgKPJawdzNF9TeRM7sXHBndLtyD+ekD00dhMUxqhRMpaf7tTGxq4fp2cEQBTRVVwDQiYY
YMPDMxcc84eYHI5T1CFAcwdlPVhG6Z5HvRnDwWAiSs7GFlmWZhe1OBi1Rd0ZlKAYzXkMbZ+MhCLU
AMRigJqPUSHlAT3TGe0xtotpE8wcdGfkmV58gl3QqWJbOUelkfmdmc2XDih2QCAp25u1rtXJcEpj
n6HcwxqDtNcv884i32A+Wml7bHVqiNUaXXJGyELBflqcIpLo9hEgwlfgsrWGc3HRwprB9SWJW+9N
txvrAMPS+IETxfK9Ni7OzbyqwNCM+KZA9RvakzciUsjMnywkxA82dc0jFXB2QjqHjaKKNgNKoz0a
o7Ift5BjzkobPA/CJLJlsEfeMHldQ52i7TfuaFpooxEZRI76k5m7jWdvuBKscIEgYAeLHv3SZ+4+
sZA2lNu+SrXnNlMaCQmj3DWkXRw1IKun2VTezSQn78mNsiGo4jbD6EIBOzqVCHthMM51mqtO9A1G
nDqQuFYSFimBo5eP2Tjn1AlV92HIyiKrR0S+RYt/gu56nPNVO+sCGHFlTMPttq8+E6T4aNeJb7vM
Pk2ru62ZOOvzjSKsfWWNaw7yPU9AESKAPTKof3K9bI/t6nEpu2OUk6tdkcoG42Vb3Jbdjy723soS
9we82o7Bhl90eYvwrkoes1mVRzRIHOyTqK5WPpk8x7h8WIdcXDspQTVZ6wVvkhY6tlscy9w9WEte
+3mWFEDDq/Q0DUV8EKN62mjJO3epkDkUNHik9rTEQlKGn3Skmsc1KfPfwszqa443ZfUJKpFBpjgj
TV07ojESzMQL/RB7ZYTUkwiiDW0QatgNWHPT6ePCzJxrGiMXcmcnWHt3PHVFTuiyczJUcjFK87iK
sg0bI7VfsHkNV5211UuaIRpnljp4oW0uXIw54E+5y6MFgrabsQZZ2dm8apNXsKChRVklvIFyZYKc
1Pr41DjlfW7r2GFsvn4k+9rMzkPZflUzUNIyX7QSdRz2GQ74s94gLUcyumfE1JwyF7Vky748MPNu
uVlNY0QjYeq/BT8fwg8FON2pZutNaS4xlpnr3s+qsveRPhoAmjBwxAX6j3bW96yGcV9HOmcekTlS
0x/HCLXDzpy95aHUbcdEmy67/WC75mFKq81yqPOrR6GIFWPywgk5NqJ19FxIP61ANnJCEIh/gvRM
OO6bV5VtAWE8BCg6Z897mpn2pom4B4B7Kof01xSrryXuIJPqTU0hbrZo820Zt8feQCfLtan5k12w
+zI1Pay1ciLIdDTosrX0yM11zMm2MhyyRawxmNj3Ipksj+jZeaGcMuS2/ZIT1MCKeM7eWY+2Zlxs
VEY7aq19O47vypxARM5C5KeW6+CpM/TlVkTJuxLm6ne19ipSz74rs3n40GwB0QirQpVTtjg0ECfR
0o1RomhPsyduaoEjMkN779SNvLYsyHa4yd44wMlY01v7VSB7ZYMvlwDX1GvJ8jPIpNv5a5fsqaH9
rsn9pR6+lL7lOXE17zwHVxKmOfb6pfyTQ2WXSXoqAZElU/ncSnbquY3Gvh3jXcsFvi8j4KjYj0gz
fdMaiFnuouVhSsoJ8en4sZ9osvt9YREJHpES6hnD/dQVlHrkVN2zRXvJam/xnRlFHUB+6kWIuXsY
bsTf9Ol+blM2k6lZMMozrNsZJVzgogTALZ5B0YZ1Z/aw4Lu6JuDZGM9WfmWBeWmmNOV1rJ5UVm5W
mHPk9biXenUrV49wqV4pTHa1UT7HbT2/sSo5Z2uP8ZqGg8CX+Qg7az4MDSDusGBbcEoH1Nka6tyT
ZiTmMcfQct+uY/wzzo2OpZn4oOV/FqwRp3uz2Smj/XSYcz1PKe0fovfolDAZ2jDqVw1vFbF1ct0j
SXKPlllk9CbqLibIFa1B3bwKgl2OeYZOBWaKK0J2ENmuGsYuaJuluZoOEzPahmiPzlg+rcmUsjVe
55uaUAJmmaZsT1JmKuhwvAaVN1+1zU3pTdnMB6XHh8aM0tAxncXboWZOX0ZCA295zkJTLddFAqUg
H2dF8qUz9TqtGVp1/mz/1veWdmJhnoa10JeAv9P5jWsOdJiH3jXKnvAXJQcHA+Kh85r8VSMtgDVe
d68EeU4ZGSohTvMowD+EYpt7njp51Bi+4ic3CYSR+jgidx/DZXUsLF1aW50g8oLDmaZ3uyYobeEU
P0lMtDfED2IPHwlO8DOs/qgcYz6z4zQLl+SaBjEac6HGCRBc5kEkGEIlVcKEqrU/HUZdux5Z6X0l
s/kB7k1r/Ct5Z7IbuZJl218p1PjxgmbsjIOaeN+ocVcvTQiFIsS+74z8+reozCxk5eABBdSoHnKS
wI24EddFNx7bZ++1N+mih/umN6Kk6h25zfAVH2t606qyOBUW1N5tGyd4NY2gLWihosJuP5Kf/miS
sdt3qeXsSiZNBqq03+SEoaiVM5sEpg8eGM6FKRMY4r0hvBnc6Vw4ifESUBS9SiquHtvWEOLJdxzI
C5JWLfyoZZ7c6JaRzAsqccAwaZ7xzhQ8nUWOaVJPrnfnAeQ4B2FbH/gt1taUcXfDXV6+0IDsHPF+
1d9tVDE6BnZ7M1KttS8My7yCBgjvDbe09nXUJHsSpQxAwq3FNox73rywUp0b7Fx0DKVrS/iyWSWo
FDd+48jHPpfhKZukfOLgL+57lzq6AVttsTIbOAsSKF6902YuHSLhFbawqK549eFWmuwaB49T9yhh
5SSjT+VyXqxiTKPPUqjb3gfB501jcUnqEgqOtv8EoEN/mZYoI2KfVvA7yOL8iTHkPfEdln9pc5V9
+yR98gDDInj183jo5qnapczOZ61NHlcH4Uu5xXBgQVx8Vk7sHVRlJ+sqDMztUFIiECIP4iZP54vZ
DxA9zIzOL4BOyGappNnZtBHoXJbuixO8pKnxTpH6Wle19vZd1D0PE60lpmxeY1HX6ybOi30qHfdu
pg/iYTLa+sMOlUGgPfDGvcXCsV73thWtoNbtSeA9RZHvHwk7MO7QZ+iq/ox3L+HA08lpkt53zPi/
skDpbFIkKE4CTRh76JX/RK0SLxO6gjWJYQCJMOQvvTdf3ND1r5GHKw/CLcWSnfwqIgqWlgKVW50z
GzfJbGG5n4xPSqTDbVD6H34n1AF+ByQTR9nridU0hwcBGVZEtIXrQYoDb12uxvLElr14TjIB7Efw
+OHtJpmllXHgYkdwtMmuXexCZWcxtcOnfiMY1FsFf8KaUSW3A27bY9oWxt0waR8Rw36KKpc/Ls1Z
rzTsxSPDZYMvEyT8hv/4rFp3wro35tq8EVDBSAk5yUkobIkC/wfKEMVnFNw9CNnw5WwKgnQ41k8y
8B8n3dnnqCgeTb5EK9MZd9CI/K3usqcyS+7ghZtY5CpYcJLU4GpOBeXKTj+bB9gO3U4y4XAWIo0C
P8FRHK5GgthnH3f+gkRqbB5moKt8gTiQhd9Uz3R3uL9Lx0O1LCMfYkkDSMh32mPJY7iZVIURb5pT
+kY4Fm+7qA0uzTzPJ9rb1C2wkWzZrD87oXt1Yf7setv/JGl2znR4o1C797aDaaKZrKvPXHSOo35N
KegmzpuXqafMbSgRWtsqWtclbd3pFYhQtJlZsDw2jkUW2IAWb5llc67bstsMoRu9OLDaiWOPjDS6
BZfVqA1Wf29TRxW9BmopCeh8soBXza7pdoFynBK+a594UAi6ZV7F2N01aC+9wzcgLJwb0dMoSUqT
RIMidItBWW00gChB4pdgpjPHezWxEuxjpgVwmxOvkzwjYmI6tonk6JJYqXOfH6PK5QsRGcjxXl85
R6Wz4pdAa+D708vyhn9pcsJu/EwMao9AKHcl59stGNnEWxuDNr7mlMGM9+F4jUdKKUJCnQtWojPf
nLgxnrj3Wzczj/ILNYnDWqOxU7zSR+095wLM6hBo2Ier/eEr8jrudYgG/sBSKKXLHC8VwDjUW7t/
cbqWoDx9pvSJp/wQ2DEBpMJim0yruYsZMzPMJU+ZcNtjpMuZ46oxh/fR9JznPhKU/GYeOlWBJblA
ybTtkmlQZveho4wCWIrGajmHWPn5SGK7WgMCjp/7bGyOrKMY44pexjtu1Da+6RzEmltWpAU9iSXe
x8/ylnjFV4SrlKBe98W13CCuEZfJxqzlV8bAx8JtRrBaGQmSSNub6jxILNLs//gf9vSivZ3cMmKk
NJ23Ikn5LvGPzfbWwFzzywJf761bGZTw9gfnd8JAvpsH2z2qIHRv2bJSAdRA4nAGdsINwdxdFWfO
FasOJ1rkLdGX2uOn10eudTCMoGH/hNkoUax9ULqKFaPi8IdPp98VnQZ1hBv8ALzhwdVLVTYGuGKd
LP3ZydKk3S2d2ihr0Q6AH7FpYttrbCCUbwepC8Vq+inl9lwNhx2s3q+yrLsBehCu0HZp8pZLpzfk
8vzg6cy6z34qv2ECQHnFI06g1mWqhMYCXdnjxUdbOBvFPXWbxRrr92dBvoNMJd3iPPj1djb8/gjN
Sd5jTv30caEAw2OmXfXj8G5XXb9u7RDTiT1fsORj/q5yPD8mhYAB1qm12+UzhI23KqbzhzyNJckv
xV7J76/FcwhsDbhGs8dVNL8UA6AAHZbNtk9IFWgtPBozm5NVONw6vLk5cAukc5wA0gPtW5z1vfuh
A3xdWxofatBFQ3ObKMQvjQT2YJNEyTD+OvYTy6YZfksSXOnBiXdEhvV7QHlrNiM6pH5g3xdNk78U
Me8OGiJMfNx+fO1HilUGxwVC0NDIGq/YorjzOpkDn2LQgHqHIU0gI/Vm90BSMM8BwJAvW+fSJHni
wxPjWmqLDfkH7ml0iASzpR/1lIpD7PTD3tY+F7Ry2arFx8kuWZ1ag7dd3tQeF4+th8tpXWEIIOld
m7iJqwUBQp+X3Q0EPMFQbJJ4HLalUz1xM2NK6exmrwDy3NLpR5nSRPR/SuUH+7fgzCBCBI9pcp3X
XGimOHfPDlGV9ZDQBkz8ariFaeK8esa8zUNz3CWxNR3arvMOaVU152oW8S7tW/MhGuWwZ8mAzNlV
Y4V2M1X1vivG4DEatHuHXMl/SsJS0Kvp3WI1LS58qjbzgT1VsIewRbNdwyFZzrCe1lEFCKSYNd3K
U5Fne7Yv3AHZumlQyz6gGXvm6UFLfQpnu7+3+upiLEEi1LzbWnfu0c68hBoX1ykJe4aIcbXpzPyC
ZiCVWol07YO7hhpMrH50Wal4pdX/zrAOkI3LgoMV0uG8KttK7gWDwtk29SHLp+4zHbDxbP3BIOEd
OkX8ws/3Y5J1steICLy62KuvwlxwbdPBxk3aN9NOon1kx+T1RnqNmpWNTIe4w/7O3Ng2vvjVbPXu
dkxdVoqNGM7TDDVR1UX/3k3WdEkm3o/kuEgaRFwMGqs8e4VDWL9yoeWs2Jkz/9dTFD90taqRi5PW
wlrGCd2V5oVdwy4eeX5zZ3oWRJB/z0YeP7V+4/1mA+ffOL04xbQ1Qo1uAko7FNHHgrNQEAvURvlm
sJC9L0XdrJyiEDwVwtiYcPI+Rj8BnaODIZXkOVykYGaGLzRQbh6ytu5DaVpbjEGQllQBrdCy9BEk
pQ9BVNvmOcxpZqLKnAWT4dTbojPeg0Y3Hz5sBJe0+AAhp/F42wyJk3wFiJVcE+yR6Cu9QAc8O8T9
y75+RRh6j6P516j9jNe42zxbMsqOce3M6YrXafwmuH++dhMAIE4hczqMDXM6dw1ID4m5QCq5s2xC
n/rmNNXFVU35DF1AufcdfM6trLLxMEODIahqURUk4LzZu6Ii608qJwmApoydsZ4y2ILLBSdFlqB9
ubmy8YJOFJdgjAAH6QOkB59VhqH2BsbGa2mbw41nsHntOI8eMHkY6xmlH6On1pfMCe2D7LrwDfuz
9VynHXhxA9cK2x4MzaDQ4Gz1iz5upI24I6+K7mQ2uWLhhQV4bNJNGTuYiaDtDtu4mBDaKX+hI4IS
us4Q8sbss2LdFRKTTzG7stqUyks2AIxJLnvtdyLibtOVAWmgNsHOgG173kpLPHlo++vYFP7e5TSF
HT3lN0YmL85Q0GwHMHMliZ7fTU1NijrW+teQWTUpXDWqq83yu+GKhDPUJDH5wJLWf4SFrS8ssN1f
UkXF2ZhwT9uFOZySxqOdOQyzfm2VkXq0J7aMk9W9EQ+yiPhSykVpok53OGmaPa9S/C7x1N/3Mocm
46Y3mpnrQFsJVINRvdQ52ck2IbOzrslEPNf4dS4jbbt6Rd9f8kJlOjsCQ82Ym+KhWlfWfNvwQKyL
lPgOcQ7v2EbpHiQmIew8Ro4MlDoljnNXBWm+6a1c0fo2FUe0DNgmxO75RujxBPt+vs5Jg77ZeF6+
DtRkvgVFg+vDsqxXw7UewL49+7oaL1SUFRsv4BaXNvBrqSaONrlOrhF7whg31AE0Pd8f35/A51co
r5ku7tKSFFjRpEeLcfYKQx7dgEvUDTFOIihcnqzbyvPLA7rfl2qrJ9ucziHMWSYx51TUOUsbU4X9
IQm0+RY1tbdrs9zfO7adP4ve4+Dq2Ekfi6Q4idLtz2gCeEJsR29iIeuXjHTvrWpBr3BNrqFLsqgm
leK2y5Fu1OvahYgU1mFykEaMrWPJaOZmXe1G+Ctk7PuJTq8qXOKDtpldOaYHsqx2qre8OcodO0nz
3MvhT9UItJ42dA5BjIl9BRSluuPcctb4v6YTfgKb7XSon4Yu1DQGBuNhiUc+YLHMtjRAI0n5onio
GS4eRji4hOzz6p3ynCQia66Hs87Ndh2Rx/h2tRW8DC2ByAiWdY4iHdQp3/y5vme95L8WMCg2kHhR
DSLA0Snpyq1DFP2YjE55zCNPXkXsxncWJe8Hf46WfPhodRe0gegro/OdfEBVAC9CiMTuINzz5Lb2
m0hHzXk2t6iGlIT28+Q36ynVGb6tmH2CY/tfdeDbJwaV8AuRkBkiWaQoq06uMZdwEHZN75xU97ZI
Qa9mgCtr5Zdm9z7Tv/yCuhG/40+b79E2rG3ok/OeGz/5Exm2eMDlzOYgKLOnIAmiLWsBrvdQ2eBx
V94jsRJzH/W1swZCGD0MIetzkJN9duqiJP0uhTU8FrxeWcxQvURE0AEYURHhy7vE3hpJEJx66Bu7
uuVdw+W5MC9ZNo3vyCzuLSurbKuAuaQ88nZ7z8bAfsx7LuAUxaePaWn8StpG7dyG92efBaco1C3r
HKe5D2stPqn9QVZM+c4QAe5I3HuxgTGoybHYzIT008Sg7NoYHsggMwDKESN7VsB+nBuEDDoqRkLu
UnzLRAVnHDpVsaqMHljFBJXv4jIc7FjGgeYjorkfm5qSMigTmqszagHbKPkwlm3wkPh+uQ0xAjwV
QfzI25WZx+EuzevXOjQ5HQzOGKXnNs00NW9QV6euYvFkZCQiJWMtOfc+ffWTakKMJrD3NtgAuOh6
TkZkB/TtGV8NR1RspDvPtOxzK935s6hid68g/a1bmrXXdMWyx0tqXlfs+h5Rw7qD44ANGOdFe6/M
vv3GXDOtVRk6jzPMneMw9RlgXGLNXLr8E3kBF02DTQxfVdi1dg6kZ2g9dIXJNcQKW17MY8kGm7Dr
EHfXfBYdzrhu2PV+oHa4yZg5w5gcHKubx3bQFTfmlp4vm8qGdavE6HCpnNT3bLgOb4q5eE4jPgPX
bq1dnLnlsRzG4K5J+uaeLE96iha6UjhjFKSK3lZ85OIPB45xOwRTS/IoMzDHO1nGGfR/8IolSSKz
aQdszoF1oso/hIUC+F9B9p51U8gKBcvws5ux/3BwX12GIkg+qNYb7hyLpQs6LWbYdAAlHNlJ8bcK
qf+vU26EVv9fTvjzZ1N8Mhv/S9Dt53f9Peim/nLYSSvTd5feK6koGfjPoBvdew6HtDBNTOhLnu4f
Lnj1l+1QQmTain8V3Sz8o3/44MVfjof/j3ILgdcaGea/Y4T/16YHzO/KQ+K08MK7LLmXf/5PMTfe
ZAabS7C5Dg8xCZl7N0i/hSJqz4vaCLrrUKbfNZLR6p8+pcvf/O3/Bu3nUsZF1/7Hv3MP/Rffu+sq
4EGOIOfHzlyKf2nQCSO62Nw56wnX+c0f/LHmqrdtrg+jM4jwKHEdJkT68cyvOPLmB90uhYWkkmZo
iW31bXPn1Ot0wqXH1o2ew1JNJaa3pfywjic734ShQ8SMELq6oBtzqvZc6neWEwD/5qqxn93BOxlh
h+259RH4i6VzMVvaFzU1jGOIB8ylmDFZGhqhOO0S3xJruBdcxeuC9TdHZUe5nmtIE9aE5mzWTfJg
8c4bVloP1p34aYWktufOa42F9La0RloqeQoxpWLimnS715abXyen3KIk3iRW0t6mFR8F1mDBqK5N
jmLuV/zmcemrhAQ5fLGOtZ87DGftuu1FeE8NWnPjFBjgRDwFK4llBFDAkuTCnpogySbhSzzSlek6
g8YKGlWbEGymGGV/JV5jbzCzRW/dT9cmngtjh+RJA6c1GOp+NNruO9CShs4C62BIa2Hn/+Yi3EII
GxGOw8Y3nzVVBfxfHILuhiVj9NCW+D9XBbt7UDQSvveKxfW4V6aKztIyITSAT7yRNtODZSDA6zjH
aRzP8EflUj1aLyWknJkm7ePYjPtKFxcdshLmZsKtAZIUUXOXXdnS0ku1aWn3+oaFdreD0IO8BLGA
Gz1lqKzxqucaU2yPD7w1wg05jPJF4m3bSLzUcAF/mlV7NfjlJZSUWXMwpmBKsqmn/HdghsQ+Ufkk
G0mpHyjQo+GyjMz5Jc8kdGTMx9jIAXOITmOaVdM9v26seQ8X4o9jeI65Ddlqbgen8y+RO0KoMgcj
xPwBxJQ9qAEhrEV84x5ZJjR/DWaZrloCT3s78kAylizIXpyJ9eF2Tlj4bVxO9BVJaUW9R9OClyu9
ajoGeYsFKUQbue37qPuoC8mDRL7wDfxZ9CfovOqLTyZ+aFGX773UYTFWTxlUWATR6I2cOs3TcU8n
tyT4QFmuydYUqDB/yiwjAQU7xQnMOGB/wDZuT+6cuHod2ANtKDFTJlB6S7CVXDyb2ASmR1nOWG6F
wvoxCtnNcH5rYM2zP+gvegmQXpNwrK5DIPwPFnfRaxPz6W1t1ZRwi7OU+gBEoZehY8+GvVvoLf2k
+jMvu/Z5DKngXElQZp91jB90VVEWthGicZ01GT7SmrWoxR+jjcVj1FX5C5TK4Mrg670VfSYhtZM9
MTZytIBV03bJnUwMabXFCpE/li6F8Ji0qbhhsK8o5ErctN20FiMeti/VUbPaZIhRrsYDEUZsh7eR
KdVeRANsMnAMAiM2iLfJm4eBatyoeUCurzUgSzM7z9zDxUIw5BRB7eaaDZjHuJ+qCXiQSFX6wqaH
FJ5pstNdu4VXfpkmQYONy0bgMNcG2AWg7d7ESSi9Y1/E/Pe4/UJOrvAfXow8iy6y8/CONCwxsYTh
9LnGgI1f+JECsmV5AylIVe42sN3mMUS73diVPW4dy8mvmcDaOVctOkfl6vrNaskycZiZE/K37X5w
mPMTBbDKbNl6AnI5VA2DToohTNJVqCtajQ2FhXbFlxz9o9P8TQ3WCtyBJ4CXKvENNl0Fx8IQBA4t
q8Y83I2dO75k7GAZ7CC2LiZ1X1YHU/rynXU+vZ5h7zhw1oSBpQnuVHKb+LK/GI6qntWkQW61weCp
bTAW9tsIl+x3Hc740vJogYHEdNmBLZKUglE0Es20uqtmCo8iAFC58jB43LGqNaNLabIw2UJusE4l
y7Zo32ZW558mA+8mgVWm31uE8RhyUJ0YnyOaTrAGrNG020IWwa4toD2txtaDWci1BXRfNYd0QXHT
sNc8OPieaxA4oJBxq6SYKKHlwiqdnJU7OS2/RDggv3QDN7tpcUKqTs0nP1nu61IFtzxJzYc3GOIW
XcR76bl2nwaoa+c5MTmIzdZdkjgTb9C06KfXXAkOvVDF4x29V6rY5iknNWoPY/ZEWSvqtGN7v0m8
uo86xUMdkyGHKwZYAsJ57zXfUz9EVww4qKYxTSXbwfTHO5WPAvIzGDyLUoDXogwXFLwqsc+yzeBu
nIVczIv5nMsC6BX5n7PHV29r8Tf/BGZ/148RYRTPJDY2k0H6hdyV3dlB345b6qwxogGP9igaqBzP
PAREXSiU7VXwSUezV696t0unm5IycsG1Z4heTUub/KBpHk6gT2gme+TjGu0umt6s2XKfOH6riwbD
sw9NPb0TNxA3rgzx+6pMZu9Ern1rxf3Xc1ehuTQJD4lHfEBiDMEQxa6Zr6FhNh8E2LsL1P3hLtCB
vJheC2x+Go21CuKZHWBvffmuEQDfgxW702W2l8CpKu4imAlXDVT333M8hNXaqVvPwfIOt2b5oclr
TGjssSxFf+yxSmQ3mI+8d6ePou85DUi9iKiGXCTAiPLBJdGM2NfRz4dBWdsw6MswUG8T4ORP3i7x
FYRIpDm2qpyyI4mQhD2zq6jVWNVt6t2bAa/8tT1gQDlmiK3J2rDwWbZcrjfaylq+BCgrujXwFUs/
uCuH8hX+MZSkhj4jMvflOs7bKdoxGHAR6zvDQ9aNbBcyjYVto55YLK/zwE52VaRpG8j5JGiBnthz
VAbmyFyqr1p21rmIXOWsQKuxGGer3R5qw3Bvelu84zypn1Nt2b9UKv2Mcikes60vW9oUhGRIAO3p
dd9ce4E1171HabwdO+oBo3cY7PrBIiqn2Ne3GKv7hG+n1SMWjKNFClwNeU+vgUpYLSow3+WZ9ZD9
OrJ4oE8J0DSDUGbz0ofwdGgyk3QQ1Ctel7zgxXeTwu3knM7Ct7gp0E2N3tb3RC1JV5pTPrBgxKi/
grIr6CHS+XSK69j4FcRNv/gnkMpB/ilzXTlp94F2yHoDhc/4CDF5uGurnZJPPVqcAr7MIU4Ith6P
BUt3+xAOFbMJVcbj85iOJi9jo6UdZQrA4614BIDZsZ6ZwtvJMq0Hs8hmtUOOGbNVPGd1g5kPEnnn
Su83bVYsmGy4in6akXKo/LXVCXfnENB7HbVcSPVoeisYDmJF2gFCgEm0hliPYkFJzg+1Xhhfkwir
dxMhrHOQAWyi8Yk/q1XYKVJ6JFqXMi26eehIX5PUk/d9gq85dBfVzxq4iTrTJo91cQh9ByvUlCj7
mlSGsR3zAtNp29D/zaqKV+4QXCZst9iEkLx2qsm/fJyNrzyJ1jemrWTbDDF7xab0/IvXN81NEukR
K3ySeQ+zmOJya3Z+9GhMIr+V/cjnx5fiBb2d4yqz8KjsFfaK18BW7VPbdKwu4tnRE2yCsCWjMFX9
N/Sq/suO4LitMI9F+brEGkmDI7ebb0vRVIGhlxYKu5rQiMtW2iDQLLKL0qCCJ5Q8hbBKxyLaiH4a
v2ODK39FXA0UBYfKqiqCqt+AvgJuidEfCkLQsTg9oHpBbkAkm07sO0ngUIRMtfzEm9ZMowh+rA2b
iddYUWd3OdM83e9sS82j02QNYo0bP1ZpbTyU0wwMlejLil6CWeGsoiVulGpcUxpvoS7U/WiussKl
DCALUCg16zJ8lJHrP5XkxSg3x7zKXsFKF/tNM2T2hq1JhhIKmpTwcFUzIRkk+59Hzy6fBcsFdsZm
6m77tMINNWucJF1b0CseOm32OuGIaSmD6KM/KfiOaFV7AVNRYeSMiMIFNkDAV5YvJgakp7E11W8J
i/8wTpOujhSbFW8E3LjmhVaTfCZ2GZo7rrHO/YjyIlaWUWT+CvqxgF8xMB76hT9RqVFAndkgvtgc
DraQgC7ZJV8biqOGNTEJaLkNtUcbtze45oB5MC/s7WvcHKpB/pka23zyisYCXZr9KWY6gik6V8g2
DQkQdzXkRkJuxA3FyW1G567sBkbIqBt9dYpzZZ6wuvDABXzzjx2xxUsLA4oVV2rTk0LsQK/QkpJ9
TDPyEZ4CviGjTH67Xms28NFiceaW7FwpPjgLNZursUaMlXK+01FK8QKOHPaOLm6/kVCtjaJeQmCU
IiSwIgld8gW4j8kxQHXuKrovSAuXHuNHUw4tUqDXpXSoQuUAWZxsqAHrEQFHk5BCE++LWhTX0e7y
Sz41WE4EUyNy7NQE/DGTnd2UhYi3BlAZPGGa4UIn7j0d5+0OHtuB6iHBun/chm06YuNrzBezyCXJ
azZ0m7xpXwu47+sulu7D4Cq19atk2jmFvifPoseNdHqXpg3tH6G0kicZ6UYYOKF8c+MHdXwWKMtQ
9tiob80mK+4iVfqneYDxvS4Dn54ADu8/qvX2tTLbb7pOUjb9cK+6ofDfSS6pkxdJ603WbkhggusZ
eV4uZxmL6s7u2eFXcQCUnH9jalxm18JxpC3ccryS2TfkmFMOsg4A0o/+BKA2J32AOaZfDb5RHTw3
Gp4rr04/AkwC41qak/EN7KRoP6yUaxADQAwMpAiUOe+bJB1p3rWl3nQ/aJK4r7LfhoBXMlGlFGMm
XjAmiRYgTcQP3gTjO7JhovwrtdjgT8RCQumdEXNm9ANI6cHZBlwzF3BKurwzKUcAp2L9oFXUSGZk
w4zUnqqfY6fjr/be/SBZ6A8Ez6J/UC3DD7bF+UG44JunjUSWLZDNylswL9ZCfOk82C849sDA2Jj8
MDG3yj/6P6AYytLacE0JBkP0aGXuH7VQZeKFL9OO7Xg3JUDDgCNFDKb9wqJpfrA0+Cxiqjpg1XQL
tcb+AdiEaoHZBAoecAixnuLAqoWyGOfe5OxjcG3EHIkxSwKH0rzpmwrubEdCZNWpqJl2paFx1Eyz
6vY/ctb/tPL5vw4UYgsqdv9J+dughf7bn6KLu+nuM//zH/9++xnRB99GXfNfFNK//76/c0LMv3zu
ciaUHAeev/dPCinMDwc0tUnJKAIlF5D/VEil/AsCqcmJYEEFQQZEVv2HQur85XJVAuBlSekSh/lv
NcIL01mkyH9GdLjAS2wmNstSCB/wSv6rSIrXmmYBaegtSw05EMlila0HgJ3svCkaTzvQil3u+dYG
89m89Jwsrx3x8wYyiCOwdU4UtzKy72858An/DuLO8iuKlp682hXLyGEdPbwD1Hn+vAuzn/diYEA2
vjpNHL8amLnDRwq9xvIKrCNrN1Aj2ZzTZQECqSncQG5sPGbNJokqX4FudGFFuwNT2MrPJe/zv42U
E1IO5QJ4bS9FF4pvkZQYRbUrucSnvX+sl4lBppEhcetAUd4Q4rYdLtGiTu+xF4w35s8Y4iwTCZH5
8dR1iNubBtd3cBf8DDEk0sz0gdn9jT6MSexpCGECqj3JHW0MXJwVccQ+mtJKO7mxB4v1T/EzVklu
x82GdxKuX7aqTFTKyN1d8zOVTZKGrPU4JHFyTxIbYQ216dmt8TsbpjWFu5mITkbuOhzTU6OrHnx2
yNaesokF7j61fgadc5kzZSdSjg7T7hlDGUi7ZTSFCyCpQKJWWTQquuplvG2Zc52mW4LQOi17bDk5
/RT+2Hb4M1xFKDuLX/m3oSAPYXMJHEOVRyermLrnnwmcWcZ+oO1wDrELLjO6m2ESXSE/MruDhTL0
bixdBvsAXM58a3cexLTQ4zK3Nik1NA4NEjb5tXns9z0+aEgCjSZT5fzcONQonUuBc4yUh8LsfqPM
DvlwWKgMGPZxo6M6cpdpkY59wo1pVJ25lHAJUS4l7Ox1x+Ig6TjpNqRjaTMJZ3wZm+7nAtVaURzs
pjQdsqNJqQIh5JxF4jbyKlfi4a80jLjIIPa6XNRot6ufcwJMa0hnzW9WhkKfeOrQ8M2fy9/QMNMS
5Cz9VdSY/THM2o5V4IzRbW0a3MrQjQL3lJDW/VX5ZO8PBPBVvo102KKb+MjC66kJy5M1dtXAzNmk
Nx3s3WsTexcPVeO5bXscDV1AQw3IsuikxhEhvRV59aqKRDwwbrYfFA66Zyzph4HwOfx1/mj5GDQD
V64Sq6p8ipsQJUAQmcf7TT/pY1xY8+88yufbwTGbcZ31ZSTuMXWgRugyleNW0iWJ3dQM81s/wa56
0HaJSmYmQ/7eYYS+J/RNppWgxVQRxfDJs5EXsp8wNuFlNmUOlVeRHukw6WDItbsicjZVOMVEcCeD
hGdvcSYQzspt+u1FjwRGRokWiwSDVueXJJq9iSCVK0JwJ0wGkko6UPVQs83gxZizYD97AHpyXRa/
M7a/cEqjeBcGtn71B24zdYuPkOh9k+MZCPneQPbt7lGTycvYeXkuzGx4aslcRsjiGWcBFWinGIPX
BY2Ric/2reTQD+SrC7xVwIXMQeaH2qztZ5Gn7bnFdk1nm4z87dx1BIBTHS84FIu73d6f6nHH/Tz6
pWHBTmRMFJLmbAr823VWP8Vg5I5MCHa8IoVVYqVwR4s2Mc/NflN0iGGymSk/5XY6v7ANKb7qoRz8
HdYcHe4j3jhIENwyGHoxD9pDON5FdWkcA1siRrDrz8ZHMkh0ikQM4RBNGR9IW/l5zSDPuvw0uFXW
7/VkUWTfzmYFg8CyXYTVgGeVCALVXANlEPdMHSWAXS7zIgy84lklrQEaTfNFWVEUZm4Co3Scjcdr
UH3lxmStMg79vdOMPJ7R6xwb5q+uz8RWyTJBz0ibnQ8mBow6OgdHOF15JersgiIkD8tuBAGtpcOd
Yz8NuxNAN794KnUP7FBQH73Fzho8kIhF48YVuUSdR8K4hSPicZtBzr6afeDZ7MQk4xEgLts427NM
Pt0hKIcDCb0+vbWtYF4IJRp7r7DybSVjExZV3/QXWp3DJ64iRYYxXQsC5aThyo1wap5E8iF4ytHp
x2cf2uPMeSUwKLd88jHysu1eM10bgAZwQELB6+nt2sDP4C8iQVg9QKMCts3ZgBrI4OtSSsq8DxWZ
HC9t2yiwmO/s1AcNE+vzErXANGfPBnI4m0OtyyrGneAjKWHLoXayqx3/UGCq+Y07vH4F2ldejaEj
IKfreP5KsSnQEkjjOHJU0pMQ5I/ocoIbyXwUhZ2mh5aOOIwtgLUgM7izJDunlg+hIPxmjmmeYEac
JwaExrI+qWhZxEgiVU8TcsFtaVYjCchUkxayF4wT3h1EmwEr9R02IJrDVDS8jBMXl3SC4LczDfad
SW4qdhCK9dBt6s/T0zCbqqHBhzs+tDx0m4N2e/XHG+3pkFuhuAvAsC8tciOS/f9l70yW41aWLfsr
ZTXHNQARgabMasLMJEiKoiiSaicwtej7Hl9fK897r64YT5SsYlxTnWORYAAejfv2tZu9oApVo5Nt
gIFijOtkawrDhsP2diWnvA3vN/KnWK8tfoowvA8/eWpTb2mmfNWJPFsv/LF6mDCde4XEcEyPMZc8
ekKg4cfJbF3lGdd/8mdf8xYpftayZrr2UIjPCqFeSc5jDz6M2YTLUzvTnSzX5gupfic9UMAsru2V
NnjWmPP9J8kfN3jOBzSFeXLc+gohII44D0gV/Bun8203mgWJl4r2h2NJeQd9cHJGE8dbSnqJWhCy
0xSZOUQzsonxfmN1O2gxO+FGKUsy7Z9TZ0xuvbkAx9AgTUEMNVE3xOzwIm0XarolD42pXrNANaVY
RatQsryy0iWRBxv9+wnd2eYDXMv8uxn37W8kQJLv6DXTT+mwPVkOGyse6AiZaH2lNTVbWxqvU4/m
F8/3z83ArEVn+vLuzteyHr2vnQWoLQJ74Fo3CJKvHcn1BY3qWUa4o7wvMuepJPH+WTngZu9E3s0/
AdrVC2eDwq0AC6VUN9J8gdalXMBbLr0qdDY5S+NwWS7Wr4mbhN8XWdPG3lAVySKvcZrvnRJ2/3aJ
XfQ6bg5n94a2j2S8zUKHaUyScEJuPcftd0TCWMGF0k3n65h8qMfuXLgkK52mCm/qGkVUZwegO7PC
Io0VDo24xvm62h9E3z3MwOibG9V381lhtWxvN19QDMCO5zVZ1Aw9+DaguFl72NcpW9ZYjhVZCUmz
xYHLNGHCQXy8z+h9va6god7UOT29MTqzN7aUKTWzcYFQs1IZxuqtPIV2mbCXcwb5jt3H+k7Vfnqa
/MU9+g0ZEBbe4L1l1TEtAZsdjNdBXXr1Fyx5wjZioQ2fMG2U36e5QymcYPr9ZgqH7v20ksjOSfE7
N6LYytvBxYniUMJU+IAez3nvcVa7G0aFQ1g5J6TE8OGqIlV5sjzZLlrpdWvb7iCKVn5jgyyPbFkB
otbAEh/GePji9l2cHta5BAaTuEX7k2Rd94Fmcvq4nBBwzUHFEwcOK9vq910yJU8LunJsHDwIBDbn
xceF1lds69uwcz/uC81qYbeXyzdUTTTuWJLVmO5RLJW2L0D3vcO0pY954dIY6wpW/nFVIrzp0IR4
VzaeIPttQY1hu6xKOGd3WQP7DgSbhTjbkhRfr1zKgju9Hly2WfP8OT3YTh0kl1k3tZeDT985sr5g
fBpoU1SHzE3cx4zmk+zoSrbydCvaB7h2Ce6L7Q50gRwu+mS2+WO9T9N9RqvMAT0rHNUSqZRrcSrI
SvlDeh7JovaceANjk+OGllN9+FB1tL/hGt2ChcExnhPhLmzndSu66V4uK9nUvEV/OQHE89L1xq6Q
rwnbG0D+YNU1LRhqTwhJ4wMgLwDxIkXr2q3h+LBY8R4lrpt9bJlbXGPOvm4C4FCDpSLy7WNRgac/
2V6KQBn8rfUJdPNk3WAehBgBpaz/bhGASY74MDm0W/czFdwy8DFaZKO9S+T5ctb4MEnOWtf1MYOd
UtKrGOa8QrV/otd6+ezyFNAKltTGRpj5hrMn2iGSol8/d25CLSdzCvmGdnn7iQMuK2wOxegSc6z0
JhbN+qOKu+3Sw3jwunfI6dH228jXXBqC+KajK/Br3rQCUAjXmSOHDNIv6R5SvT7bFX0+qxxRzNO1
7/IWYdKUHWmVkDc2opYQBQ3hte3g8bMX81fC17tF9UfdN3VsdncA0MlVnKZle5zT8nKxMc1Da6iq
N67NYegUd8ijb4Ywjb1LbsQ2nkxwGblVcb3xDlxyQdJJujgUzMcO1fjE/RVOL03GKPk8Oga90Nve
9fEA/90aBSyKbKjT73PXKzyFJ+dTtdYwe1NF/0zLMr+75DAv1D+c/WJsTn2NsKlSOO1e0HDV1YeN
EhG+zVBFPku4Ym8Sf1aR5/Tpe5KKJe11W5sWl7QqeW/3fmyGG7BVpMaGMD779yb0tVPvRmc0LQkZ
0BmsDe4kKfnLoA3C9JCMWfg9A4P6KLC5pn8UfL7KYak1NTX7qt19OD+ZHeHyEtyAxl9ITtNM3ULX
uffnzj62vef1J/bmkr6VbMKlPV5IcvcTfqBZnQ3f8jEFchO64dhf+WNNL6iTjt/bcZ/foEdqqGq5
NgBe1cBhgt+w2V/kuNhHjDmcn6Sf9wckVfTolZl3ixbEowqDjUeVxsvrZsYkzQ8pUZS4b2yHrpqv
Cul9GyYOPIVHQxVd92h5Um5JcPOiIS858c6e+LDv6Xc+NwqQFenGycu+l3NWXQ+xqPADQ5Vd5ZyQ
UUrdSaT/N5UaeKC5ae8DtuHLbOyTz5wp8MRl8fMeZfHFdpU6oW5SHPRrjM9pNzo5slHXRW23j7iF
2lEfUIdh4Tw2zSAiJ6v978CSHLAhvbwWbUGnQ0AZEGJpfmzXtr7Mq1489riRY0sf2F/DXtavyBsu
X8gbksdE+V5dhjRX0B+D2QQYNToKv+2TNwEFKJwOzYEKQJPihnrRufzth3mxui+qgLFzwnJV3W6T
6K9w53JOBYnjKM/b5aql/spn0hb3SyC2O4/cP+0nS7ndLkjGwotgGfcfW46ul4RRTbVYVsHTpjzv
dnPpkfAGmlvTtSRR3Bb20eUk/6OEwRP1AJrPm8lHqGUTvbGNml4PHovo6OUNPdTwz+MIkW9yhaQm
6soAnwNEa3RjtSQ/Cvz43nHc7UhQYAJ3WP+5c1C3O3aDKn4GGKFRVWr2B6pP+ycckr0H+gFwj7VT
+EedC0r1orax1c4UyyWZm0g15fXiJm2U0jvzZiqkwx9E3zEAxabmsGNV8lJMJKcTf1S3c8n9dPJl
93Hp7Ve+s1FwtZWvHkpYrle0N6xvS5vCzWqnVXAo6uJjVwpaDewK3tHU93eksp0ToG33slWUksph
OaJCdw6caNQ9KB7vpPwsu2ltFxL1Nl2J1b+jeLMcZOfLVxudTxykwp1yg6BhB90cd+QZFj/eW6eZ
zRiorM3xzkuqWxaq/ETIBB9qqyMtn6A4P9QAQi+otzyhkQrnKLPn9cnz1uFyoXWX7yOc1Jsg8QH5
Jbm3vV5Kazmx4m746dXl5TYm3Q02fa37anXydjyRTaO0mw6frDywn5TXYbxNE8fwjv5ITntJIcA2
5nbkV4XNW6UDuvV4/4ChxpM/IPi76daFY8gChwnTJCyuJM21X+mb/YKYITusjUO+YNyrH/PmxxHr
Q/PQ7cvCcSi27uhqQYoVLx/GnI0V0ECNYBCLl0itaibBvj6kTenftQqYExLIM7syTLneXMSLyl6h
iquvfbsPftijuLdijt0DdQQOZPF2T0+cd1qtEYA4COYzQoL8kdVEKe1S1966k5vamt1777mV+oRJ
7gHbanaSZMpe+d3YRrSGwJzaONgiw1Db1z0rxTs0VfbPpZ8s7gOhup9oWc49tY93rbUVy+t0xsSA
sdKrai+/dco5M9jEsF5x9N5+0m0PcGdQ7hW6i+7U2xUW4XZxtg/dkMEGMLwutm1IOUntKnE5Dvuo
iYo8o54TcGl5a4uKWq/CTyEt/0Ml+//LCk9bS3HgWzPVY789/MB3sn5GEXegZL+MH7+uv2fPygnO
+f//j2JC6P9Lgg5nOSML4/mIrv9Lbu0F/3JCRNWBrUI7oEOPisF/yq2F/y/b92GVe9QghPhHif2f
xQQPhrktRYhK2pcQw0P3/0Vu/Vz0bJ0V2xJGfQjW/FeZ9YBkqAHl7ZHUPMIMGuabX/7+38ipXxr3
/O+/yLdDF/LoQCn6NCqQdxfAMLcPqeutd2bDn9nlvwyfo6vclrX2T7RO9bQWedz/n5KV/tI/j38u
oPy7wPLvadE04GG1FzTGxB7aHjXsb1unCjHHFLlyLmxqIaSZRTfGl3/+sZfmitf/6x8z8O5z8A8s
P+cmuwsaVxKyPpsXfP7z+PQH/PaP0UDufgjNOye9fJpoi3vtOIvkZmyjzbvdAoAXkeXvVDirrWsf
/vyDL/xBuna/Dex29s8/OJehv940iB1xBQE2mp3+/APPmwT+7+sJguczFrDE2RRfFQ28g7/ceNSO
3ENbDG56q4o0d187U4GxfTd0GFZfkCZwuku7Tuf+6s+/r9H6//0A56n+5fvjBDgUasC9d0ooqR1o
roh84XBRFh0JpC5ZKBsAUrBumwWV/QnKRBPQQZoEbnX750d4aY610l+ZIOoqFdT2JXDVQfTNTx+3
qr/8fS8Nrq0KDZFKj+moTuwv/ke72RCLknR8Y/bo51/9ZfLKIM+8QQCgQlCZ/bAxsLit8dOdDmbD
a2sDaUbVdlybsUXw5/fOAs4Yt3XfbOUJtJWhL5e8bd1Onegd3pF2rNgBApFrGt/w8bXVwF0TJ4A8
wmpA7wDwGg5r8qLrCKWj2fxoy4FL6aamy55OsWbzvXs8xdLxfTWO1l/Wzhc+Hl/r3BkCe+JCrYJo
B4522hIJeG7NiqH/ywSdP8LfrM2+FvwhHkvlRCogaugbri6X3gH3VS4bCR36jGVo+DNaiAvZwOpo
LfhM4+Riv+01NdzJ2inXU5uNy2oWanoJv2tmvDXXKohat9ifoCOmb2oYe09/ftcvzZUWyAsXG/D3
KuRas2ancuh9cZtIhLYfChUA5Pvzr7z0xs///ktApzCUcA1rg6gvJar6arffhIlDPsFsePF8+CbO
NuTHuxdNcI652eWr/OTtTXsyG16L6Gn2G5/2AS+aS94AFM/qJCeLlm+z4bV4njKcE0pUpJHEdph3
gGTDopFmg69j9gNaPBfotTsa2QO4iNU5QeNQPT/1ub8v90Y/cD64/vp6YaoI9AarF2Grmr33g2G4
X7OEiuifh3/hrEXb4LPhK1BIUN8TP6pgJcUPfoUb6nvR7aF9Q09b6L/dkkZ413/+sRc+VU+Laowu
BHof5WMVK8cM0ptYqfsX1WKbxTNuf8/+Ggj+nUdHhx8VQ9JKvMrdObjIJ4nRyJ//gvO0/Gb587SQ
3pI8sauF74k6U4uoJkH5d1/RreLdJGNcFac1cbf6Y4m1yuepTpb6LzP30plHNx6EHRb7DYTvqCmD
sr1JrSH2OdljVIyOCENcOQKYJN17yFKvrXA42xP/6MlFNI+zTSr6L3//S29QWw023GLg6lnkjHxr
OopswZbTL8VfPkbnHJa/m173+ftTM3Wgzu3CSNgAgE+4lc/0oMb7Xl61ofC3N8lQNT9bSy7VlUTC
qe4Asbr1a9cPgvwjtSh68P/8ol/6Q7WFA2mIapslk1HrxwOGEXv4o11Xcs9mw2vLRtljgoUi1o96
q12A/ThUsBMRJN+NhlfaojHR9AYCPpERMoPgk2IrvRtsqzJbs9U5OH7ZcTqRUHmzfIAZJTeZw+QE
cHwgkmzDX76yF6JMaesEDR2k3uh4isaNqiSeLn1vowNxiLjUTe3mokYEW2H57bXJt7baB9fstZwN
yH79y8RSkwF1ey/ygrjCyZsELpLmSVqG24XS1o+dfFsHscc/wZVwTogbkuPuAdQwe+3nj/mXF0PL
tF3n3boDyknGaK8p0nl9m/9lDXohJJQW++gRkV6zNUS5m4EhhAV/JGvtGn5UWuhz62kCsOV7hG05
LNLU+VBTdDV8r1o0Ox5Z37VMKOH52/iaDB4k27JLYc6bTbwWzmk+ja3otz2y4iq8doGtg6wNZGQ0
utSiWbSzaulv26MxhnmxCHp6h8rJzJ5datEc1IgyZp/Xao3uuc1uQhQEc8JsHZVaKOe21dtLPOxR
52Tl5RACc52V3C//PDPnsPnNfiG1eMWgM913nE3RkqofXDuLGePnoq2jcUF68uffeOGzl1rIQqOb
oSXGoGEI3IdwRIZFiakwu45LLWTHmqPQsnsLveoK1mKopmO+1YbLjdRClpabMg72fIqSoZSvsrLy
X4NLMHx0LWLZqGOskMWIYw/mowfgwsPBT9ciPZpNvBa0CjAy4iDSPO2ZgleMKFKmmO4Ss9G1kNWt
HgUs+PKN6kH9mH03QotaJA5zl8xnX5lkwvmrVZ+2kNKB0dMLLWihTxcyCOL51JUpZd8B36YOG0fD
R9eCVmDE4sZ5MDPz1qfe5XwHhDw2e61Ci9miBUFkDd5/Prp0cc/B7NL00fVoVUE8Bakzn8KFpLF7
Hh1BhenoWrQW9tzG5cDoa04RHwPg6QIhSm447Vq0AhgLGtu1GV26P7pMAhHLEsPMltCiFYF3GWQJ
g2PEW0WUI/E7LLzV7GxwLqL8evJYR7TI5VYgHh/hA64gJOlFikezLUposVqlrVtDrJ9O9NaCr0yz
HxSlHbNZd7U4HZBvAHReJjrhMUn2pPpkzZgpGMWpq8WpHatebKlF+bWz6yN2Ul9wMx8MB9fCtBvC
NeckPJ0QjlC3RXx5MfWwC8weXYtTrD4tNDgwgPxwcl6DlRH3UE1KsxKVq8XpOkmkRIwc7U5PqxYi
DE8dLdgrg9k342qhii9IWFGTnyOYPzUIMYEjX7u44zez2dFiFd2y2zdrxc4aDyU4hsHB5CzfTmaj
u8/DaerjViSbmqIxFJ8xdHs7SPHWbGg9Umkmr7bNGqMste5YHj9BqDfMFbpanIYZojSn9kGjLWlw
nFL11GCJZ/ZCHS1O6wJYUhhMU2RlY3aADn7roy4y+9gdLU4pCy/tgA7lVJfr92xDy6mqV0YTfgaH
/bo0QtpIsJ2zNrpiHTqEdndIPdqORGK29DpanM5gQNNCIprFJNv+KBH2ZBdDtjtmJw1HC9SpA2hU
xs2EnqTfj83qf02zNjacdi1I4yDr/BkKQqS2Hgl9hW5mKP5WeT0P8pvLwVkM8OvEh7Uns9aqxqiB
vgyvM3Gw94rbD2avVQtRd3THnk4jPscUsamolo9g3Q1fqRaju6QDH5/aKerVDIUkWD+VXXBv9txa
jMpFrksmGNvKhyfELK+VHF4bDY0X+7MJbxYMc8FWjyc7tnBjzePbbLcN8wO2FqEOHjr+bmHF4tnh
G/oJPwXYa5stLbYWolbKOb1vmJMyrd82SA3hq5it5OdW1V8/Qtkum1hJ4J+afb7qcTaTymwHtbXA
bDc1YhHA3c6r8JVo1ggUi1mZ1dbCMivHNYWuZZ3aCmnZBMPnvdkXooVkGeZ9iyeLdZJp8bVfw7fB
7pmtU7YWjxMNJCvouTHahtx52rfRjfJJDEezB9ciUtToS3M8laPBQkrg1gXmnuFHs7G1iCzKbFC+
Y1snVM7IFGzvC51zZhsbTcTPvz8+7A4kB1tymnnrBTwp6xiG/mwUODLUghLGiT9KNVvI6R+BQARk
sU3mRIZaRKZJ2tG+s43RdO4BXcSAT0znPZkNrsXkQr0LyH48nOAnXC0ltX16m0ajL0Xqmq5+muwC
oP5wCkp1L6b2W4YDteGsaHEJNXSzOyApp74S94qx12k2HVsLTWfJQJ7RsRchjYeRgBL+ppNYXZtN
uRad6QATkPMsH4raaRW083ellxodsGSoxeYaTnIpQiJ/FduYH2wZe83R5QSUGS0tMtQCtF0qGVOr
GSPaNL5Yy/yB4sM7o3nRxVozZiyg1JiXaUrUsYPSS5MTBD+z0bXw7NPZJx+98uAA9qfGvllnjDTM
xtYiNK98W/o4LdOiIF6XCA7BGfiu2YwHWoROSY/mcppxjG3Lt/Rhgu5MjQ4pMtC2zR7C6AaoZohc
V7mHpcL9z5H5T7NJ0QJ0o6IwBNWIC3PpfUoG2qF99Wg2tBafdMXFReBafbQ52A+Wjd9d1nQzGR1T
wAs/3yYatdThjFYoooSEacje4E0Hhczs0bUAnVp3KFJn6SMoe1V5MUy99Qqf6e3BbHgtPBdLsCrK
iTc6b98HTnDrEHw1GlpXU41sPGnr4RNNW8vD2rbXdlWZfYe6kGqOgwK3Yrxq9rlLT/OSuEerrL+Z
PbcWnNkORLynsTgK0/ZQyO2uwhX2z0Of4+S/36r+G/VkscgHz63fYwsxqwkuiZe/7jy62ZccIsrh
zz9yjpff/YgWpKqoV1rrVB+VmfhcpvKD1RZPZkNrIbqieCw9P+6J/3m4mgfYSQ6ov8hsdC1Kgbrh
SSZcHlw6H6rZOndctu/NxtZiNF27tujtdIiUm0HOwkNnkxd1UKbF0ewHtDiVaUJfeVDySa4WjCWo
F53ZXVz6WoyWmeq4MDN0vIVvRzt7EwvPqAwFhvX50gVcOa5oKe4jEVduBLhjfOskS2ak9JW6Psr1
Z1vNtC9FmKVu0M26SEhDdZrU9VC471njOqR9VM8tzoazf9ktiVl2mK6H5/My9nICKsOUszy+mjf3
ValWsxjSVVAhEPQp75I+8ul0vPD37VUIc8Vst9CVTtgnYinl4oeGdfi9cLrb3h4Nn1uLzj6jOuHR
jRcNXoDZJ45FRWd0iZOeFpzxKqsiafM+8piZC1zlF0jaNKUZReaZavVrFmGk1d/CZrmjbpPiUOoW
bycrfGc2thaaNt6MWw2wJEoyUYHnIFFxmmzLM5sYXYqU5yGqtHwjbnDnOQST5z2Umb2bvVFdioRT
lhejteuiPexdmsfkHTupWfVc6jKkyaqDRq0Nn0sTSrtgrcUDBCpKOBd/2Uzl7/c5XW+EFtjGv6dm
7pN08WkXRLYTx7IzqyNIXW60FRNG4Bh8R4E1FB2dqG31cwp9LKmMvh11/rt+ERxhdm/LBaQhwIZt
OMLioJuTJutLs9G1cPV9wM32bLcRLd4uzA1E7GAJDNdHpUXsWKLAG0TdRoME1g9U1y2+FNtaJ4Zz
o8XsmvUQP0EdR3gOYiY6Vu9o+TXb85QWs6XbLBUQbeYdDPAV2Aw6SssmvTKad11vNAtIX3jAtVEe
q/2D3cTJlcREtjCbGF1wJFgnlbvxWqEGd8Ml/F6sBVQMYt/wB7TTL8W4oqnbmZkXw3Ld98G7tCvN
cvNSlxz5BZZf3ti3kS/HxywZ3mLq9Wg279qpN4k3QJgwSyK/Dj/XDf38KTQtw0nRQrUjZR5YU9VG
0HGDzz5FhaupoHPf7NG1UB1ta912PDQiIjW88JC+XFib5Z/MRnefLzP9ZlGjBzYQqXmbLpTT3hT1
31RM/xxBf3PXkFqcdtmKvA66VjR7wMEvqBbjYmWDkKJjvQqT4qpqtwXb9KG8FtiuenCA6Bx/osXN
7+7J/w39Y+hX2C9Tl2yu8qIGi+OXAKbukhW67HKBY03Xv1ugV00He+vq4ksDIY+eeg6WLmgscu0n
v53WCfQGWbKDR5V6vZ46K8gj119TeR03+UJrtE024aOFsne7dLCE8Y/CXxlzgVC34zcXpgPddu4+
XYIAXvfjMFei/rz6Usb3o4SK/nWAw9VFwe7Si96v/L1HeBDqBJhNBYcaV6HiAB0EY7zEaZLw1gNw
ziNjKPboBuECxcLDrDgb+j2ymzDYLpeqnCXO7TJRpxniFClsnADlISlbIA32jGvfIegz4eO8nvXO
qwXbqfC6FM4oI0CU9NkrUczXOwadd3DTbXnEInLe8Zjs4/2xBELpm51CpLZgVqucvGLC3cdTaUPW
x4IEDVbB6PPUlV5CxhsHyRKogVdhWVQ8xn5m9ty6zmumErOW+M9EaoojUJU3sXLMkoNCWyXVjDLF
IYMUuQBnoCGFsLcAORnOiXb76LEN8gqKdkBz4J+sRffTy3uzQ5/Q1smc9ta59u0mmrapvaMbLLtq
xFiZLWVnj61fzzSpB+OuhvsSJX0hbyXnV5T/0/jJ7FvRFsq+AjM9t3MTFRhQvu+BwpHMr4PRcNq1
lbKrs5E2kbCJQpLKF8rNb9M9Mes0k7rIyyaElQwAPmxNG1fHxl4wAQbcY3jL0WVeDpjIHS+INoKn
odaTO9QTBuiWgpppNPm61GuEOR1b6dhEFKp+4lh0o6zBrKND6kqvdlr6udt8mBV2iI5sHDAePwAi
cn+aPbsWrrPqdjFPbhuV3dlQwW86rODJdrhmWgx5Bjj/+t0vbV06NlxKem8cAJD+kp+yLDM8IOh6
r9Zf4nxP2MKp0eANOjneobUW2yztpou9FptWaZXVDV21ZXnjCXy1Lrzu7KVlNvla1A55nSBkaliG
68m/SWthf+ZOu5mlgl0taP216vZq4LxKKmsFQRpPkW+PvuFHr51vXFFOYXbenfKswsFg6ZKLCSsG
swVHl3w5vbPC1w2ayNpq8SNFbf5jr6bKTPkpddGXckWdp3nRRsrzZ+u6CGuc0uJlUX+pHb7QVweA
/PlXT29rHHtlUEd76Yj+qS2yuTkAasUeGkaP9UTD2Z1lYUh65BQHWxQYYulhJ4fziNnb1/VhNAXj
jptz/ly2Lg0OIOoAUFRp3ZZm12hdIAYod+fOcl6ZYqg1ryrYmn4EsnS0zaJDl4jt9tTTXuvWkRAO
pJ51yRd5kRdyNjxgOdqW7A171dcuP7BNLrLlffoAJeibUWjrKjEYkxugduxe2r4eDmsifu6jMn1w
LbKTbncG7JWqiLPtZekWN647mKUA/mmh/CX1UlkWtmQQRKJRQiYuLEmpYdkfzCZFOy6P+DcnzjLX
EajJ4DSlANIqlRlulbpObPHh/tS80SjrV+trlS/iW2+x3Rg9uy4UG3JZQ793qoiz1p0Pqw4252ez
obU9OFmpM3p9U0fD6qY3TtljbJQ1i9kmpkvFlsLLgrkQVSQwTsMJMQi6m9Sf6tQsTHXBmAzXBmKl
XUW+quEohwHUPmcz2wd0yViPVUgSh1kNpjFdbgfMOrBMyee3f57488n+N3d0W9t/w6XY5sVhfy93
2XHkt4ckPJW20zQQIkVTm52xdA1ZgJMmCPykibAYOqMr1QjGrrBsCNZ//jvOC9bv/g5tL66sbOjm
MOPbVO7jNNoPiRMbfvZayEKywF4SEj4tv/DEM4DJELmd2uj1Cl1GVvMxWgWqwJPj9/HDvFntIzh6
s24mqFrPN+Eyq53JdofyvAYHb9tKqGjMcI8wmXSha8lasgt2XNUlxXCyEk0XvLWApRtOjHZqnrax
3qYtK1EIgHA60HzYfdrLsJkNx9fuugBpYjCWfRntvf+V3NHryk8/mM2LtqtKDHz4wquSptUmzvEB
nOYfi+jM0Bsi1GI24/pWp/F52tsgJuE4BNeVpyajzx2e/fNPpnHzad17Hj5OUtJOjgsBuVjNdiih
S8pCb8c5aCD/5iyjsx3rDD3CIa/rfDZKvkC9eP74AYZjLSdbPBBTD1ukxLbvG/r5HozerK4q27yM
DNfSWcfESdbmJrcd+87FOnP6y9P/k2n57+uY0BFgnhTu6nkTn443wfDtHKeerrJi7vpLLmKTewlL
zxuOnSrX5tbauBXctn7eVZ9cR8jLyXP3a19am7oI93iCrrBZRfGmqtXqHqqu27Kzn3O8f21i0LaX
dcuee5hUvn4TlZSv5jYfbzYcAC9FDHQ13GFggL6uMrk/pQ79LW+LM6fiqc6CdjhyYZM7/xVkdmqj
/LzLW+jEmAzKIXstXFwNjA6SItAOB+gaMeChIfmUxE5+B5AzvHXBXZttsJDOn38xjVWohuxoEbmr
/cNzO7y9knuzz0VbY7hrbpXlLQUgf3S2JRaiOHn9DaRxfr7ffSraKjNNVpXs+OREXQur47ofYJEf
Q8iZmBZwQ0iuITeXqVF2DV7f80nCm1V5clZFZLWWd5LFUl7ubZm8M5snbc1Jt3jijiiKaG5keoQI
DgkVc4g/D36e7N/Nk3Y0cOwkm4p+KiK8gLJHVNXyDSTa9cuaO9ZfMpsv/YS26Nhx6CcuroynYRWF
d0zHru/wj+tJtl9nmJ24f7lUv/DKddUc8gTcdXH8xYppLAqc51YHdZhVnrJqD9wDim6zrJLQRXRJ
Su4k7ksmrXYthG7eBxYiww3M1wLaAjhCIqAuIody3ChgJgvnLwv0C29C5475uG0FOz24xyLBsv4a
Cyp12QQhdX8vmUvbSF0g/POv/3JFVIyNB61vgekAJDjlY/IxxG7rLx/s78+yWAM8H33Ywg7nkz6P
fF+Nl2iugwusYc0uK8LXInnOSEUK/JqiTAbysp23Cuv3zOgeJ3wtkG2vdcrSL+OjM2c3doxvUOMZ
zrkWxtjs4hWGmdFx3+UpDrvLKnON7odC19BhF9ZkQ1jExyJzX/kKRxbPLIsndA0dssIzCDeLj22+
dDf5MIwRXlSPf17ZXvhQdAldrPx03oTFx+4kw6lte3mxhaW8NBtdi1J8s/pY2VYW+dnQvkL1+qFL
NjM4rNA1dInnJ9bsTllUbm55OYVjfYXPnZkUVegyOmtbqadUeKlmed4d2zS4tXxc483mRQtPMODd
NIgmPI44U6yXrru8wxytMEsqCk+Lz7QJscaWdXis5+6uKJso7xuzTVyX0m3puiZVwkGqHKfsop7w
iNlL9ZeV96WPUYvPGXX+TocfQTTMzQWqsUPrQRQ2m3Ntg92B9Azz2GZ0LVXboU7aprvA4Dc0E6QB
pH6+5IbVRs9FoUIarZrdvQjKuH/VrEVm1gcpdDXd5NVxjWMLBrzLTs32LSqAv8zMP6na3xxvdC2d
9HYHOFWSRs5mifmVnVWKBqMEcOgTpKQmylSIo7TfzWcrRbJrWMaPhZrBcbbedtlNod1hEYZz8ZfK
V+4cxYHIfKMMvNBVeKvVOXA3xvN1qR+T60zYwXRKh2Koj0bfhS7Dq7Ns9AIn9Y9rn3osUFs+1RjL
eY74ZvYDWrD3YzHh9NJOJ1wI21MVSHwOQmmUaRY694sjmxKtqKaTc+Z+LepsdiZ9I3210FV4rT/L
IR4ZfJ5gN5eD7HBcdM00fkJp0S7TiW74qZ7OtlYtnku4TZCR+Go26Vq047qEba2Ix9PsphVWjRYN
XHi1mu1ruggvQWtqSwv3xwZlzUVT9Mld6YvxvdGz6xo8ubStcPCPOFkhVQ9ZYAWPeYrZxOjMr6xf
HGxsyvEEo9K9r6u1+IrrmW92DNIFeLtKl26c5uFU1155gFwNEQbfx78sVC/sDzrtqwxHsYtADafM
X/tLFY/wxS1sH8ymXYtTsbhiL4txOImlSlFcjU+0V6+Gg2tb8rR0ILP8bThtvrPjYVr0B78wPKtI
9/nWo4rJs0THrO8VuJZl3H7a/X8ZW3xb/1fyo7n/j23gf+Bnf99k9Tj87//50qRrYWrtbdXFpZhO
Cd0zuIulmIi5tHKaTboWp9iIyTibOVj5WFwNlXisUtesvVro0q8UB9imaeV0yuzevlhbjLHiGBnd
n5/8hWuirv4qnaJzi0YEl15cqvk+naqsutw8t+wvZY/ntFlE6UqweBYxPjz8EcoNrOPsquRQr5OZ
EkzovK82jf0R93hebvJ/mPuyJrltNNu/0tEP92noATcscac74pLMrMzaVZJKywujpCpzBQkCIEHw
189JqdVtlS3bV5qIadkvtTFJEMu3nGVoCg4YWC5G//j7I/SNmfMcCta12A6AZ9Q7WDf5vJFTWxhZ
ft/B9xwJJlRCrExTvVu6edlLONBmEDDevu/ki58tVy+Rbmza6Z2tt34fmu71Frbpd77SZ8t1q2Wy
jaj17BSvWS77tc0BSf0+2D+6+l9vBgPzzDJeql0gA523mxqyWPnvU24CA/rrq5dJ0uuwpWrXnMyr
tlT2cLsz36cqGD/HgM2hR8lZV3zftsP2Cs69631Lhj/Srf/GfHyOAitj58IZYOVdqkPwUU4Bh4rC
P6oRfuvqz3JdONygXO2F2CcBSudL8HHsh1fftZCeo7+6MApL+GewPXS+yj5bNqATYQRm3n7f5Z+V
osJ+jGFHpcU+VXIAALddaX1Jw37g37dWnyPAlOEzongl9sKEWSui8558ZyQWPVuoEOKaLFzWxF4m
OP5OeIjh+wCJ8XPkF8wgmrJmk9hvJ+mjzoVJntTw9/2+QX+2TFvS13bzIzxIu/IwaHVL6PepCcbP
YV8kBagolhL+xYA/tENwCeutF99117+CfEFGqNbxkBQRnWV4lqgevOvayfn1913/WbN5UOHUwq2d
7ZMxXCGhnpgENtmS/5Ge4Gkx/kam+xzP1QRwduUOPpZSBeZgy2WR14aRCiaXcmLlsZKbq6/sVv6J
5PpTqvpbH3oqxf+i1Mt8VA5LO/VIW1c3rHnYN32k4ByPVdfv63Lt+mwaJexqsgFmqCMcrb0e2HHs
Fa3lHol128msh3enP9alD8qHOHaA3Q0EkNYOnvIeNnAZghw1XXY05OpqMTCcpMc1SNjUZXrrq6DJ
SCyaGM7GlikEQiPFq8tSMY3Vg9K1hAFh0jEYPsZbB7nnwiOhZzB3nhan887H7foSEnJugTFnB4sf
yHz7ZjUDbG/ngCYZLOGjqTuEqqOQvpeoWVqZgVfQz7hBw8bhtYokEpmWtfxnqSS+recpWQoKuG+c
zRihLl8WFzVnG0wK4brUkdgMDyOKtmzOVh3CKTlLOa3qd0MDI/GPspph9AMi5zZqmUHtq/VvTyC9
g9qkX7MBolEmd64xYVcwECfL3YaWTbQLonI1eckx00S+UOdTWUTLlpKLkC9U7Jt03iR4YdPoD3AJ
GOAgqBZ61ZK54QVpYhfnNYO/+bByyQsuIYALn7+KwpfUuHasq8LCeLVkOSokazXizqZBs4xHlIE3
sjRnZcIQNmIvoXI+x9sa6yaDESaaVSIMYAU6yyF6P1lJC+e3lX2cm83He6XHtLvedMTpfT3BDfo6
tmUcX25lzeeq6DdwVJK9cHMIRYSNsrm/AkOD432pplG4uYpsopr3BKrGiMYkgd34wdN4dR8mLpux
yscFxeAjAwNJvApXthqf90MCJ7GKBycZyH7uBxeAxbIBtAUFHTYv887jXY7jMUpRSIuOtBtgdNzR
TuxpVw/5SFcnNaopPjCw/h39Yi7IbLodLCPj7ZqO1dy+WteoGjimwxjN+zZOzZqPVZ1EUImtfV8g
r6n5O27jYbwQ64bEr07JDHNupyyK+ZngKYsQQVkbx3Eu0jhuX4Qd13QPgZVuvRgiF6KqTSy01Ta0
me1SgbtFvKEWSE4KkTXSzx+iPgBnRi8sUS9ZKkNe1KVJ2w/IfXiPRSOTcSlMm47muptJRV8BnjXJ
fesZaEJiJGN6vqVB1F2Gteu2x2boxxmMGR2MyfWERVvvBlX76Khk2E5v6kBy2FpuSVfRNGMyEeqa
WNuFH5K2LLmHSa2Q1Zlzy5KeE90k49vWUZ/CttMQsNErWKALSDuntP9YWld1sAOdOv4hjemk3oBd
vtU5uks4u8DzGOFdifo7xx+PQfJxbPWyHWWkvH/VbSQMc1VjJX1sE0zzQ9VF27UVpNqTaOLtDdcz
ozvCG1XfTV29brcOBI8oQCcaugG8OCkR06Nxdhh+7tC5qS9aCrfOs3Fs+/JsikSoL+ZJsChvkziJ
3nEaJeIxdF15DQp5cI420vYR1BaZtS6tigoCQUGxNht35/CQWLYDxIPit71oElGoHkzHF8zX/XAd
VmUTHt3YzH4XTHW7HoTXhJ4xunbkDaFlV97Vk6hUrrwNoInYEmFAopEURn7LZlJ9ZchmCVxmqepf
w7ijHG/mVLB6T+puZIVd2wV7p0u5rvfAT4f6ahIL/dhDE2DIS5QM3U29Eo2tpB5Xt6PpCAvcgqBb
tVx0LQSO92U1K9BrArZUr2puRHKUSima2TLQ9ENdi1bl1WA622Z8CEsCoyNYoR9NL40trItIUFgz
RGE29JtT72IrcAdFSqoQcoYr7qIJKqMzmHGaYTecJHlglo7t+3pyIKbtUqVhS028gxM80jvocsIK
gl4hXKqeSixhBlvQOpI5lS4d3/gJ/owQOJISkmdZ3G1bc3QWLNlXHv50uszqybIV+/2m3DhmrcUx
7TJUvBfz0c1LnN7DgkPjQOigViPuelzl9CKVneGELCg6nbvBwSE0A/cTZrI97Ou73bJUce+zKrR8
u3CrqVC1WGFjJQ6k9IgRwWSr66OByxp8R3XTBC9p2umoqBP4dxeGLKEomN+29l6TLW4Pi92cOJvl
GJTF5KLSX8Ywy7kloWmbl6gcRb7Lmr63Yg/V+Mqeiw4ZzDXs4ke+T7oG550ty3QCzhvG9peyIm2X
j5sObZ4ozeCZSrUpGwf23GbCO0tgLJ7NQ2JhfL8SFh1GtIzb6xFKd82ULT6BgQ50xbPJaREew1gY
e5OaKRgeombl/SXtY4M5NtSyrx/jnm+YCRKSbWY3VrxZ9niytd2lskvMa9otdXluqqaNjyDR0v5q
1hEMvnbYjnpawJcpLp82SCVD09zUbXowY1NVwDaDgYU5wqGjdF631quDamUMzHAEDDHZGQXXw2yx
fohe4jP5/QIn6vV9D9F4cNJFVI9JPkF+scoD7E9lvpZqfdlG1MYHLhS4LukwAKwqFw2fYK9mC0s5
PboVBJKFhTkaCry+xe2m6c3qfNUcgiFK0Dlqyi6YX0m5jcM5oLv1hqho2NaPODUMjIRNQ0j44tSp
iUke1xPbrjYiEmmwE2++PPIWrx5CsxTuZpcOG/J0A/cLo4/E1sIeVktFejq51xqaABWG0ZjMCqxy
Ar26apurfGqc9y9isfYig2sap3uWSOxvWRe7Vt8QG/LpYdNGJW3W22VNjz6JyXqdYPbXb1uzwoIG
DxmP5U2Hcpi74x0G8XyLWr0WQzyn9oDzP1AVBheu5Tu3MeYqBE923PAydbXsF9cF8jULvZW3C8Zs
gdE7YKE37dLUTZ609WjeropF6TsZMc9lBoUwAn/psI/76nGAZiq5hWp9Ih5GKK9076d+6iLkVxBE
hIt9G7XsIJk1HvFbTTiFpXEwexyF/YrjA9EeJGNpkC6sMBBpGD0weiz4AFV5n+QEh3p73Oape8Vm
zO9dR1xP82bdUHOVbEjepBFwEXnsednmyEUTBkfEkc1nUc9SumTxSuR0reqpBuU4hHznXom2H69i
qVzQZxQMrId2nOy6T8MmWW7CgWjo76LPKl4lfHD1funhlHM7RXX8lhu4vBQmKVEK4E1g6bUfVMn2
RLcuukH/KR7u+o6Z7SJshwn26UOCtQFYPIBq/KyDiKq+KmUv1JrzJKluPZAvQb7SRi53ZnMTCNHg
vUYuh4xh2eVMhI266QxqTFktq37axR682n4Pilq442U8DIUmZYQ30cAq+yqZ1cnJFT7fCH44oJV1
lQu+pFEh54mEc9Ztq3/TcliSp9kmwVp8pUBui+8rQ8dLPcyIuPK6aoM8bKEK53Ps7kvGHI3tm2iG
7MGhok7hvGcr/LqzGAReZTMfJ4E9NrgF8mIeB8tg002novP1PJx18Gb271Ki3bKPWNeHcCbRkDwL
kybmRdwDHpyZONxgll4GzmY6LVtzPQM6JYZcUsn6y86U/ob7kwHqprf4wnDekR2Hg82KYxQhR6G3
BNu+65egOnZ0SO2ruS/D5W7QcBVHj2SK3vu+dEteujo5IFyDa2YHFs2ISnum17Y+1FZBWCMBrxqH
bZxvmxUqG2GGRAurSXSoEA+8cZLFFxWklGRGRTuZvA4jWLuPm4qycUxaes5d5R8TsH/aqwhLR55t
rdnE1RRE+pY4SLwiBYrtZUV5tCF2ChN9uwQKsF27spyCRn6Ffg7I2jAvjaFGDhryldc8ej26oNp1
UUu7TMrVXixdL24qBwX9osM0ztN1dnlUl80hSRJxOdPKn1fh2r/31dK+FHGv84bQF32q5eu0FYPI
KqIMYCdz33VTtpJGOJNViHb93sOqzh/gZV/d03BV57b1XBSYzjSX27yt+0G36bkHfDF57QLOXla9
A2qhiOzAgkMp2eL6rMTM5aDJ+5o8Nrb09nWaUuqzpZErB5QzXJwvmpMewLH36wbZFK5Dr+CsO00G
buhrE49tUdElDM6XMAEbG7RSR851HZbi2gSrsfsFPH9yv9E+ornwyWIv5kSl1XtErnLapTYKooNq
VJNctvC2h9lrNSx95kKl+X0894rcTPEcqx1kGvwASQJD6+MYLKJ/F9TwEm7z1DdpUxDT1jab0wah
qLAza3LdI0ZxWRkHcdxnPvVz83HlMH+/XNZx2T7AlMohHKotTzG7e6ytVGUtCEPtDio6ZXSmed+0
L9YQuf9uHJJY7i3DvlMgo6nYcTrB73YTk1F8A1JNm14APxuHRSjWVBxD0KbWnxuAseXNbCxXJPei
WupzM5mY0AyCIhzt0a2Nev8CqTGLkAUDsrldGNMb7Av1wFx4pSSW5MsOyap716WdOCbw20aCLB17
F5q4C95LNFiRJq9jCsdFFKHrHLMDwVJWzgt2d6PntVhkpfkbCk6/vecOe/tbYyYRtUXKpgDnVTmk
wfKSuq1dqyyIIhZn1pZa5qKM++jabHz1Pyeg+/ePugGbbcdb2Bbe+b5eBQQH0lHfwuM57dbdsEDd
9Uw0QTTeUqwy7Igk1hPH9lSvDMXCegCt+dDGpHaHuKs7Iotk0wgBsp5SWkEGfkT+gYivnXK/qFMs
AhsX6160VuvKnYmu6vR9b4Jx2Y9tYMXRGDGneGObcLqYon5d3nciBReJ1p0w763rpmWvKiKDXHRz
eNFMVUnzCY1we+nbNqnwSlgDMqBBlT3XapkQlE4UcjL38waVXBCkp/JyrKLpzJUrv5viyFtEB+m2
qRvf932m4Q2agRRWzTH8xXg77r3jqc8r2KnOxy02SNBqMbPMWDcGKrOzdeYFCx2rf15gbcJ3W0dI
XVB3OlezysBj4lAizL5sIM2FWReHMj4vW/izXqjKj28ExyAUsbVJ2GekAeTh3vRbGyBK9SQ4WzfM
6zPEASE7tzgC2gfn4uYMKUAo3o2QOGd1noqKNHdqSesaktChpM2cYZKlcc6xq3pkcwGIcxurw+aa
t45sucaCf92Fqdz1ZUMHLLVyPh8JKhhXqFfE6S0fVtqdu0WLD6jEvEXoYSMKSxUKCPgIj5joboiq
8j30LNqmqCQ2xabV3ZW1BJHZBoERd+wZr3O1eRiOgNZBDg3TcX812dj0V7qczcWs1Ng+wCDaPgVT
Z0yxzgFeY7Ky+25OTs2djuNsXxN3TxFL2KLaJsTqwDXZNesdk3uQlQXNWuUqxAZoVS4wu+Mr6rXY
CQ3qO7a9dmCZwIGRnyo9IH7r+w7BWBalQKAfUUoX5jKe+BTcxgwgPoCC2FAtx4VWle3xUmZPDBjd
ZdvsVhLzlu1aTpsX1QRv+F0I9sr087pE3ZIHNSpX76HVADdcnXKT7IY68hGmZhO91A3ykTM/tCaL
WmygKltmDRe7KprrjzyVJrqP3VwvuZcmRLbDkn5Zs3bhffCuacLyAz+FJge+gmX+2lP1ZLveJgh3
xRQimJVJNx8EPEF4LqiWT2OKJZtxWHbksAUhya4XCf9U/OviDYPg+Q76lmWCVAam6vs1Yo69VVUg
wD9uRInKYCAklJGMgkRBgaBEuvOUjuPHvl/jEPtcUrfDPZTaRJtHunbxobWJf0TqXG0Xuo/KJ1n3
m0jh/+2X6FLWLpleByWh6VMIy4z0EalljcpIW6WXYtQd9g5S+zyqwsndalEyBV4HektJRSty2wSU
opqN0INcpA6ConuxaBoVq91IvFvoYpasl/P6EprIYfJGabG8CILEvOElC18D+2G3s7EECegQjEiM
116uy44mHIK+W7uoNxjz7mIIO8DaaAsDbmicJONxrIWY8lQN0mUqKLu3YOqu2ZSCvKVU4uiFXlVw
y6hbr6jYar4fS0gv7PrUr2cTbCXOQtWTYwJPZux5Q2zua1Gl/kZVI9jDywK9nyyd5tK+dDMkXt9D
QATJmfEuqd+iNByzjC4e4xC5tsW2IOIwHhFxMPCPObGv65UiSIxRSqgqRBltGkAelm1BoQGDT3cp
r1A3cbBXh08J01tzFimi7iG/3nZ3ER9BAl/hwHDX4EayuFlCNefYtr11mUZtLL5RXc2SPFa4ndfj
WLpx305lW+dRwpT7cMK6Hsehl/JiZWzr8RldYO66MHH9TVwxh4DNN/GecxWMB0AomXuBUvSwwzYx
DHudpq0ponrpQ8DlYAy7Gx3BJgJ9jHO8C5QjSpWOCum2A2h58d7emaBul3xI57A/D4JFbmeQH9se
gxS2SVkPa8iLahtXLJ+SYzg6R3adSOZ8mqw7j8cQAWfdDBde1ekd0MsTGALQd0SdA0INccLKt8EG
OPmegyHjX6POtC44iAwJHy3XVcTggdNtKA+YflbDcUCHonlfb5OROd4UCO+8qxGZY8fsF5nXU6mg
Xw7xInEFiTTOcuGomo/rmEz8jMEDHNao5UJ5kwUpZA/3TsSnRRi0S1XBXXFCxoTNpyvazQh3tCBl
iCwaV9tjGaPf9TTj7CyPSltSFQsUtQmQmDJKwvsxQYRWLE7oOmfJQsH1sdR39w2FTE1BoDffvO1R
0EgyOcx1/ZqsG3aPKghoeE5ZKNNciqiPihHVsCUfhwWlrQwkqLUqWpALyU2iJs1fwBCkWTIPFWi1
m32ZjpmPtgQRjFCh/RhouCpkKage4gW8bBZ2Vnvl2EeKh3JvDAJUepmasGd50rMuuu0rRyCarJAU
1I2R8s6DwN/to9YQ6bMUZPsFBcx62Cok6hYlB0zqFUEhPNrLCcbawpRX9Uia7RgmZB2uhEKdNqMq
dtBLV7V+Imnc1NfRVg7AJZWkGw4zX4LoFrxJRrGmdLw59H8Gr/bwb3R6D6Sbkjm6Kun8YXDSBDBI
3Cw/Bj3KKW9JL09viCLxKUItVAsyKhIweT2jftjl4FdYM2fQYgmjC0KjFMllaoPh0ABnsXxwkRem
KCkt7ZnDfu0KnSrV7fo45lMRwZHGdtmkpa/3yAZ7cVEmkF8D+LI/2YPBLW0s2roR63lpCeM5eCKV
SAsoMRAsqKaU6GejFTpW53RZ4w0xi1XJAUWCEd36CbFdhjps2GUgjG5tMWEa9PtkncPpiTVp1wfI
HcLExvC7hYjJz6qTPfhcHTpkFoepRJyY5EGvxRmNVOTXYxfymN9DM1raS4fUflV48CZpE8Qgazze
pKzp1zcBnkYEWR3aeJz3JzVrJKQL35bkej5l0BdlMHYrgi/gZSEw5cuquvEyNEhW9BxTLPCkQ82K
5ei1pMhWiZFi+Nh4ZNfA9nkmyZO2SzAhGGApEqbRgtu4wK1m1OdGjDO/SbF5VAgVebs9djW6Ee/b
1o3dPqmSIXAYXRUP8GKmunmRINzHWo4ES9K9Qmg0PdUqSR3PbCig1uxYMvNXIepzDexfUP+3H4RO
5u5eBfMY3I4VGj4vllOiCsUCz/soZ8sEXWPQ5pTuj7VE3wuTJFHxXjMkPnQHH8V5ugADsEpdvqGH
NCLTbTRrWEFSavmFU+gkXSK65vQSYVFiXg592+lzVsVuPAYzjNnfx4SUJKenmG0/jzKYs55FLrgc
CdSpXgSzmRvscfAlzAUi42HnZ8n1dWMsiC4yJWx5tfWANOacGDR5mrgfIDGjq8B+5NSo8lXsDDb/
Af4G7bKdBxvsuxGyQtewPzpVxR7xFCyu85Ctdj74cRDxQaPK7s76jm7kHlXFND1vOnQCc0UkAAA7
8ImJ5gXm5oba1qmiFuwnHUVzHlPZBhnW3BVVxifoNaaQx9iTENDqad8EIfo9dECLx2c9LNZ45qdV
pYWuWZoc7DqL7aCSNSADJN0iNwvU9Cp4pY2zCNvLNNTG3KcGqupPrEpmeYnAtmH7Pq1n8dI5tGaK
vuJtBXYiAGm3zTD09KKs+qF76TgG5sJHvDPnZIalztWCe43gaO639LadmazO11aL7jUSvaZccjIj
Wp6KduQSZesEGm0NyWcsZhXk0P6gXhXoAzIu9h3ggCcJY/YOCobEhLkQEMCUO4lWkJmPCMA0Btay
VulbnNMDCs8A46CVhthN+Jcxhh3kKpHW3fYa3ZNy3S9YyXuxbewSSTQNLqKgFAjsKIF6XXRq4/Ho
jLSUqrOuZVN6ufUjmNdh5Ef7zjWzgGhFN0M6ZG8rtfo6Cx1NGXqcEUBXZDJ8ySkKG+a9XCBZfztC
dsFE+5PUa4iaxprC3J3rTSxtLqRzXeGlPjnKWUOvU10mwzEBk9cdpkHNcVEtXg2XkYFODUqkBP3W
0Ws27xsU8cMsMGEY7NGjtE3R80og7VSTUYiQYtnEDyuDi/xFuVXtegdJhsSi9l6XenuMhzSuPqhu
JP2RxKA6HgmqvtMVVAO0fdVDkhqxzZAm62WYBMb/7Ke0VZfeV4FBgW+NeL4JhCMZ6sszeiuNMQD7
TTa5mok0LrcexqFHjVtoi3mLoi4HNp6iZ54kJ3jtwvcCyObrfoEz8GviuspcabuFwzmD7d12etus
BNdBWA9neMOS9gPKfEFctCkPlIFYK/KZ3AyY7XKHyLrDAYmN9JTmO63cjQj0Euc+CEKNxcInDbqE
Sk8jKBTKVYgkdCpuDFv6AHIDDWse59P5+MhmyCeAS55Wx2kUPswI9rv+Zax1ZLH2qlRONlPcgFWN
EhOMolhNGlLEURoAXhNXU3kd1cy6PbZRaCEu/dAsT7Zd1Xo5bkymb/Q60wTJy9TO596zbX3DmVTL
zUnDMT4YOZeZhNjNlCEarU7FcrUuOHPRwLzl3gt2bmowDa7RKJEgvCM23lDamjpUrVIYVyapfQBx
deIZiEWR261Udaja6am+A0wiRES0wJT5rgWyEeciPDag3SgWXop7pogA0nwg6GctZ0Opp9FmDfh+
STZy4AjiHL1vPT+hkFSheIuCDbEPqFZsTZBRi/C1zVLsshY1xH4E2yODSD3yzv0KeijMgYY1ofU7
MKz9rLPZwcRmOpOLTZs2dxP0wxGHErqmYaHjGlCO4j+MtpDnDVJ+hk5VbHMCRJDJAm6nModQcvw6
xl8HF4urK3UU9an2WyH9XtVpz0zKmzEyeodqwTYDZB2UwfE/ynklqzdJf4BQ97oWhLbjnG2+Tm/Q
sBrmgpYgf38fgum5shD1ySDHwfQ7It62ySu6fB+4/rmgUNrHC9o1uG7c3HEULZr0Oyk0z+WERqg1
irJhbI9jkqCIJBZyZbBbmz/g8H5DsAotg6+RPiiFRRaINHQmAqy/qR4beyFdMEID0WiFglO0tLAF
YGKKbleD0i0SrDYg+RiseE+/D6E6oYp+C230DFhWoUWzNoFm+xFupn3RgNRyBfDglCNeQ/sRvTj+
B0oD3wJTPcOC6slgqgFTvIcgwMReWj+Wc6EqxLmFw8kEdVLIP/SISlc//MEIfwNk+VydqAU+DKdJ
lO4phyeHhezMbkKt+Q8e6FtXf4Y+U3D0M6wWKZAj8kOnw3vHVfkHcPFvXfsZPBRh+iRVVaZ7D9uP
rNb+2Mx9/J0Xf4Yws2Foh3Gm6R416B0aqU1Whqg8/v6E+tadP4OHluvS2FQ0dF+RwOBMX8osrHH6
f9/VT5/6C3Bc1KkY6CCMS7RJaPNaAZfJbXz5+xf/xgx9Lk1EdSidWltMl5qJ6NGgpuRyQn0EXyEe
SZWpGWjsA0hOqfoue774uUxRzSvHoNmS7mGHmr5JJm2u2xDl1d9/oE+b62+sbvJsdbPWxygLVcle
clGjAi0G79BcwX9PPrT0PkHkje8MSTjQs0a1r9qteRVipqWH0jRzjVylqndwZ3xclxjWzZllCMk+
391/fsUVMX//L3z9cVRI9qvaPvvy769Gif//6/Q3//ydr//i72dP4/WDfDLPf+mrv8F1//G5xYN9
+OqLHeJy61/MT9rfPZm5t7//0893CLLL6UKfWC6vxl9d4k/90qfn+OaF/vL06b5eefX0t78+PMpm
KJBG6eaj/es/fnR8/NtfQwAxETKdmAX/+avrfXqm37tO/4BHnx/xASH7CUw2moqTOmI/DpBt+PR9
Jn4iRHBoXMNX8PQPP8YH/WIsvzUEv7qb3xim3/+d37vzz4NzGoE4oidW9Y89ffgTwUgSclK5+eXT
858SwuDHfuKy/q889kc07uxpYkJkbvjqxZ/Cjj/z0M+u8K9XHkU/gYvJwUD9/GZPr/aXzy5+AuU7
5gR4lE///reG4JtzH0qeJw7DnxmEZ9f41yCE4qckjQiPU/H5KbET/nIQ6E8h4SIGmvDzv88z7d9o
+jNB4iiOfnAYMBeoiGjIkug3hyH8CZhFQsMw/TwMn4f932gYQhqdUPg/NheSn1hIkij5xiBgLlCA
drDZfh6Ezwvw32kQSIgu/En4/ofGIeI/Qd0LgmWU/uZkYD9hHgAjm4b/35PhTwzWP4/OvG76x08n
a/NkfnE8/+EvfDlVfn2BXx6c2D+/+sXTQfv50v86eP/+1b7x6dT7xQ+/nIKfPucff/6PB/z1R3/1
WV+e6ss3D82TftAfa//pB/4ft3mKav721/83PNb64S+3+uHxydRfHQHpScTlXzf0qzDhn7Pgd69v
zIP8cpnTgRqFJzb3j142a+oH/eUyn85pcaI+/ehlDw/aPwwPXy70KQSCiAX2ox++ciMfPtYP/W+O
dEJOFMUf/YjzBynnv/yfB6n+718uHkwtm69GCDvLSUHxRz/l4kEPCE27rwfp8/74w9fGPO2fXTgR
SLZ+9MKXDzCNenh0T0/qy8U+vVsmTlpCP3r1q4fH2v/2GsL1/wdm+80j2KlfjUuUpP8TL/N2fpw/
1k9a+y+j8GmJ0jgMv3zjNzOEP7X0b+ehffjw5TqfL4xw4ss3vv/C/83atew2CAPBX+ETAqEkuVRK
g9SqKhxaqp63wQIXQioelfr3nSVAYwKKFPsYFM2a8Xp3dmWbV/qiqk5JUazOCucO9LHfZJZJJWDh
rhbW57pOEtFB5lZIcdNjMSNdeaEL/l6jxzsVWpYudoj0Bm9n/ENUtfUgioTyHqwdPUu2/sHt6AEh
mCNg1aXi450A1+XmEVvNSlLK2kHVamMflREzrucYCOXIynSgwqIitkK5P35idnGkBj+rnm7mH3LR
tk14/bZsivn0hMtdbc9IoJQ45qjKAUDjzMnGQIaNSvndqB7UgRtYvT7FUEntdFCCyXiiH5HL87lo
bbW3DOo6VQgLPNUjdN4Ba4CmgArmaQLcAE2BSKBx6FdZFWCGx25ATPoiT8ekdyWJLun+sN58qUTo
0+j5m266JnbIWLGE96gy+1RVGUhduzSlupbVhQVsJ1w76DTpv0KbZyjjF+nBOA6hudVaMJBpnpEK
ZvENuFAksLSSscb/b3PqTvILxeDnnJyVa6PB7i02DhpeC8dZ8u04umam45G1Rb6Y9WRsBULRvcZi
dG189uYOF3JcG8hUvTm0Zy+r0FGDe+4PqIMZeJ8LKu//AAAA//8=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5.xml"/><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chart" Target="../charts/chart4.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chart" Target="../charts/chart3.xml"/><Relationship Id="rId5" Type="http://schemas.openxmlformats.org/officeDocument/2006/relationships/image" Target="../media/image5.emf"/><Relationship Id="rId15" Type="http://schemas.openxmlformats.org/officeDocument/2006/relationships/image" Target="../media/image8.emf"/><Relationship Id="rId10" Type="http://schemas.microsoft.com/office/2014/relationships/chartEx" Target="../charts/chartEx1.xml"/><Relationship Id="rId4" Type="http://schemas.openxmlformats.org/officeDocument/2006/relationships/image" Target="../media/image4.emf"/><Relationship Id="rId9" Type="http://schemas.openxmlformats.org/officeDocument/2006/relationships/chart" Target="../charts/chart2.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190500</xdr:colOff>
      <xdr:row>6</xdr:row>
      <xdr:rowOff>88900</xdr:rowOff>
    </xdr:from>
    <xdr:to>
      <xdr:col>1</xdr:col>
      <xdr:colOff>444500</xdr:colOff>
      <xdr:row>29</xdr:row>
      <xdr:rowOff>152400</xdr:rowOff>
    </xdr:to>
    <xdr:sp macro="" textlink="">
      <xdr:nvSpPr>
        <xdr:cNvPr id="4" name="Rounded Rectangle 3">
          <a:extLst>
            <a:ext uri="{FF2B5EF4-FFF2-40B4-BE49-F238E27FC236}">
              <a16:creationId xmlns:a16="http://schemas.microsoft.com/office/drawing/2014/main" id="{C6D1CA48-30DA-BC6B-4397-ACDF183403A5}"/>
            </a:ext>
          </a:extLst>
        </xdr:cNvPr>
        <xdr:cNvSpPr/>
      </xdr:nvSpPr>
      <xdr:spPr>
        <a:xfrm>
          <a:off x="190500" y="1231900"/>
          <a:ext cx="1079500" cy="4445000"/>
        </a:xfrm>
        <a:prstGeom prst="roundRect">
          <a:avLst>
            <a:gd name="adj" fmla="val 201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72266</xdr:colOff>
      <xdr:row>0</xdr:row>
      <xdr:rowOff>101600</xdr:rowOff>
    </xdr:from>
    <xdr:to>
      <xdr:col>13</xdr:col>
      <xdr:colOff>389766</xdr:colOff>
      <xdr:row>30</xdr:row>
      <xdr:rowOff>114300</xdr:rowOff>
    </xdr:to>
    <xdr:sp macro="" textlink="">
      <xdr:nvSpPr>
        <xdr:cNvPr id="2" name="Rounded Rectangle 1">
          <a:extLst>
            <a:ext uri="{FF2B5EF4-FFF2-40B4-BE49-F238E27FC236}">
              <a16:creationId xmlns:a16="http://schemas.microsoft.com/office/drawing/2014/main" id="{676284E4-DF16-4E46-64F8-00784C687671}"/>
            </a:ext>
          </a:extLst>
        </xdr:cNvPr>
        <xdr:cNvSpPr/>
      </xdr:nvSpPr>
      <xdr:spPr>
        <a:xfrm>
          <a:off x="72266" y="101600"/>
          <a:ext cx="10983252" cy="5744558"/>
        </a:xfrm>
        <a:prstGeom prst="roundRect">
          <a:avLst>
            <a:gd name="adj" fmla="val 3683"/>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112389</xdr:colOff>
      <xdr:row>0</xdr:row>
      <xdr:rowOff>139700</xdr:rowOff>
    </xdr:from>
    <xdr:to>
      <xdr:col>13</xdr:col>
      <xdr:colOff>342900</xdr:colOff>
      <xdr:row>5</xdr:row>
      <xdr:rowOff>152400</xdr:rowOff>
    </xdr:to>
    <xdr:sp macro="" textlink="">
      <xdr:nvSpPr>
        <xdr:cNvPr id="3" name="Rounded Rectangle 2">
          <a:extLst>
            <a:ext uri="{FF2B5EF4-FFF2-40B4-BE49-F238E27FC236}">
              <a16:creationId xmlns:a16="http://schemas.microsoft.com/office/drawing/2014/main" id="{E65A6ADA-E18C-9FCD-6FE2-DD6AE1160579}"/>
            </a:ext>
          </a:extLst>
        </xdr:cNvPr>
        <xdr:cNvSpPr/>
      </xdr:nvSpPr>
      <xdr:spPr>
        <a:xfrm>
          <a:off x="112389" y="139700"/>
          <a:ext cx="10896263" cy="968010"/>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76200</xdr:colOff>
      <xdr:row>6</xdr:row>
      <xdr:rowOff>50800</xdr:rowOff>
    </xdr:from>
    <xdr:to>
      <xdr:col>1</xdr:col>
      <xdr:colOff>355600</xdr:colOff>
      <xdr:row>30</xdr:row>
      <xdr:rowOff>0</xdr:rowOff>
    </xdr:to>
    <xdr:sp macro="" textlink="">
      <xdr:nvSpPr>
        <xdr:cNvPr id="5" name="Rounded Rectangle 4">
          <a:extLst>
            <a:ext uri="{FF2B5EF4-FFF2-40B4-BE49-F238E27FC236}">
              <a16:creationId xmlns:a16="http://schemas.microsoft.com/office/drawing/2014/main" id="{4BC5CE4E-50CC-53EB-45F9-01450BA1654D}"/>
            </a:ext>
          </a:extLst>
        </xdr:cNvPr>
        <xdr:cNvSpPr/>
      </xdr:nvSpPr>
      <xdr:spPr>
        <a:xfrm>
          <a:off x="76200" y="1193800"/>
          <a:ext cx="1104900" cy="45212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584200</xdr:colOff>
      <xdr:row>6</xdr:row>
      <xdr:rowOff>101600</xdr:rowOff>
    </xdr:from>
    <xdr:to>
      <xdr:col>10</xdr:col>
      <xdr:colOff>711200</xdr:colOff>
      <xdr:row>10</xdr:row>
      <xdr:rowOff>165100</xdr:rowOff>
    </xdr:to>
    <xdr:sp macro="" textlink="">
      <xdr:nvSpPr>
        <xdr:cNvPr id="6" name="Rounded Rectangle 5">
          <a:extLst>
            <a:ext uri="{FF2B5EF4-FFF2-40B4-BE49-F238E27FC236}">
              <a16:creationId xmlns:a16="http://schemas.microsoft.com/office/drawing/2014/main" id="{86543E82-0D70-0B9D-F48D-36D9470A5B7A}"/>
            </a:ext>
          </a:extLst>
        </xdr:cNvPr>
        <xdr:cNvSpPr/>
      </xdr:nvSpPr>
      <xdr:spPr>
        <a:xfrm>
          <a:off x="7188200" y="1244600"/>
          <a:ext cx="1778000" cy="825500"/>
        </a:xfrm>
        <a:prstGeom prst="roundRect">
          <a:avLst/>
        </a:prstGeom>
        <a:gradFill flip="none" rotWithShape="1">
          <a:gsLst>
            <a:gs pos="0">
              <a:srgbClr val="FFC000">
                <a:tint val="66000"/>
                <a:satMod val="160000"/>
              </a:srgbClr>
            </a:gs>
            <a:gs pos="50000">
              <a:srgbClr val="FFC000">
                <a:tint val="44500"/>
                <a:satMod val="160000"/>
              </a:srgbClr>
            </a:gs>
            <a:gs pos="100000">
              <a:srgbClr val="FFC000">
                <a:tint val="23500"/>
                <a:satMod val="160000"/>
              </a:srgbClr>
            </a:gs>
          </a:gsLst>
          <a:lin ang="2700000" scaled="1"/>
          <a:tileRect/>
        </a:gradFill>
        <a:ln>
          <a:noFill/>
        </a:ln>
        <a:effectLst>
          <a:glow rad="63500">
            <a:srgbClr val="FFC0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FFC000"/>
            </a:solidFill>
          </a:endParaRPr>
        </a:p>
      </xdr:txBody>
    </xdr:sp>
    <xdr:clientData/>
  </xdr:twoCellAnchor>
  <xdr:twoCellAnchor>
    <xdr:from>
      <xdr:col>1</xdr:col>
      <xdr:colOff>495300</xdr:colOff>
      <xdr:row>6</xdr:row>
      <xdr:rowOff>139700</xdr:rowOff>
    </xdr:from>
    <xdr:to>
      <xdr:col>3</xdr:col>
      <xdr:colOff>800100</xdr:colOff>
      <xdr:row>10</xdr:row>
      <xdr:rowOff>165100</xdr:rowOff>
    </xdr:to>
    <xdr:sp macro="" textlink="">
      <xdr:nvSpPr>
        <xdr:cNvPr id="7" name="Rounded Rectangle 6">
          <a:extLst>
            <a:ext uri="{FF2B5EF4-FFF2-40B4-BE49-F238E27FC236}">
              <a16:creationId xmlns:a16="http://schemas.microsoft.com/office/drawing/2014/main" id="{DD3D2B86-8523-A4EE-B808-A7022765A2E4}"/>
            </a:ext>
          </a:extLst>
        </xdr:cNvPr>
        <xdr:cNvSpPr/>
      </xdr:nvSpPr>
      <xdr:spPr>
        <a:xfrm>
          <a:off x="1320800" y="1282700"/>
          <a:ext cx="1955800" cy="787400"/>
        </a:xfrm>
        <a:prstGeom prst="roundRect">
          <a:avLst/>
        </a:prstGeom>
        <a:gradFill flip="none" rotWithShape="1">
          <a:gsLst>
            <a:gs pos="0">
              <a:schemeClr val="accent4">
                <a:lumMod val="40000"/>
                <a:lumOff val="60000"/>
                <a:tint val="66000"/>
                <a:satMod val="160000"/>
              </a:schemeClr>
            </a:gs>
            <a:gs pos="50000">
              <a:schemeClr val="accent4">
                <a:lumMod val="40000"/>
                <a:lumOff val="60000"/>
                <a:tint val="44500"/>
                <a:satMod val="160000"/>
              </a:schemeClr>
            </a:gs>
            <a:gs pos="100000">
              <a:schemeClr val="accent4">
                <a:lumMod val="40000"/>
                <a:lumOff val="60000"/>
                <a:tint val="23500"/>
                <a:satMod val="160000"/>
              </a:schemeClr>
            </a:gs>
          </a:gsLst>
          <a:lin ang="2700000" scaled="1"/>
          <a:tileRect/>
        </a:gradFill>
        <a:ln>
          <a:noFill/>
        </a:ln>
        <a:effectLst>
          <a:glow rad="635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381000</xdr:colOff>
      <xdr:row>6</xdr:row>
      <xdr:rowOff>127000</xdr:rowOff>
    </xdr:from>
    <xdr:to>
      <xdr:col>8</xdr:col>
      <xdr:colOff>469900</xdr:colOff>
      <xdr:row>11</xdr:row>
      <xdr:rowOff>0</xdr:rowOff>
    </xdr:to>
    <xdr:sp macro="" textlink="">
      <xdr:nvSpPr>
        <xdr:cNvPr id="8" name="Rounded Rectangle 7">
          <a:extLst>
            <a:ext uri="{FF2B5EF4-FFF2-40B4-BE49-F238E27FC236}">
              <a16:creationId xmlns:a16="http://schemas.microsoft.com/office/drawing/2014/main" id="{2E85528E-CBC7-F577-B115-E58DB79C11C6}"/>
            </a:ext>
          </a:extLst>
        </xdr:cNvPr>
        <xdr:cNvSpPr/>
      </xdr:nvSpPr>
      <xdr:spPr>
        <a:xfrm>
          <a:off x="5334000" y="1270000"/>
          <a:ext cx="1739900" cy="825500"/>
        </a:xfrm>
        <a:prstGeom prst="roundRect">
          <a:avLst/>
        </a:prstGeom>
        <a:gradFill flip="none" rotWithShape="1">
          <a:gsLst>
            <a:gs pos="0">
              <a:srgbClr val="7030A0">
                <a:tint val="66000"/>
                <a:satMod val="160000"/>
              </a:srgbClr>
            </a:gs>
            <a:gs pos="50000">
              <a:srgbClr val="7030A0">
                <a:tint val="44500"/>
                <a:satMod val="160000"/>
              </a:srgbClr>
            </a:gs>
            <a:gs pos="100000">
              <a:srgbClr val="7030A0">
                <a:tint val="23500"/>
                <a:satMod val="160000"/>
              </a:srgbClr>
            </a:gs>
          </a:gsLst>
          <a:lin ang="2700000" scaled="1"/>
          <a:tileRect/>
        </a:gradFill>
        <a:ln>
          <a:noFill/>
        </a:ln>
        <a:effectLst>
          <a:glow rad="63500">
            <a:srgbClr val="7030A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101600</xdr:colOff>
      <xdr:row>6</xdr:row>
      <xdr:rowOff>114300</xdr:rowOff>
    </xdr:from>
    <xdr:to>
      <xdr:col>6</xdr:col>
      <xdr:colOff>190500</xdr:colOff>
      <xdr:row>10</xdr:row>
      <xdr:rowOff>177800</xdr:rowOff>
    </xdr:to>
    <xdr:sp macro="" textlink="">
      <xdr:nvSpPr>
        <xdr:cNvPr id="9" name="Rounded Rectangle 8">
          <a:extLst>
            <a:ext uri="{FF2B5EF4-FFF2-40B4-BE49-F238E27FC236}">
              <a16:creationId xmlns:a16="http://schemas.microsoft.com/office/drawing/2014/main" id="{FBCD2AD6-1F7D-1247-87D7-303B459845C4}"/>
            </a:ext>
          </a:extLst>
        </xdr:cNvPr>
        <xdr:cNvSpPr/>
      </xdr:nvSpPr>
      <xdr:spPr>
        <a:xfrm>
          <a:off x="3403600" y="1257300"/>
          <a:ext cx="1739900" cy="825500"/>
        </a:xfrm>
        <a:prstGeom prst="roundRect">
          <a:avLst/>
        </a:prstGeom>
        <a:gradFill flip="none" rotWithShape="1">
          <a:gsLst>
            <a:gs pos="0">
              <a:schemeClr val="accent3">
                <a:lumMod val="40000"/>
                <a:lumOff val="60000"/>
                <a:tint val="66000"/>
                <a:satMod val="160000"/>
              </a:schemeClr>
            </a:gs>
            <a:gs pos="50000">
              <a:schemeClr val="accent3">
                <a:lumMod val="40000"/>
                <a:lumOff val="60000"/>
                <a:tint val="44500"/>
                <a:satMod val="160000"/>
              </a:schemeClr>
            </a:gs>
            <a:gs pos="100000">
              <a:schemeClr val="accent3">
                <a:lumMod val="40000"/>
                <a:lumOff val="60000"/>
                <a:tint val="23500"/>
                <a:satMod val="160000"/>
              </a:schemeClr>
            </a:gs>
          </a:gsLst>
          <a:lin ang="2700000" scaled="1"/>
          <a:tileRect/>
        </a:gradFill>
        <a:ln>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812800</xdr:colOff>
      <xdr:row>6</xdr:row>
      <xdr:rowOff>127000</xdr:rowOff>
    </xdr:from>
    <xdr:to>
      <xdr:col>13</xdr:col>
      <xdr:colOff>279400</xdr:colOff>
      <xdr:row>11</xdr:row>
      <xdr:rowOff>12700</xdr:rowOff>
    </xdr:to>
    <xdr:sp macro="" textlink="">
      <xdr:nvSpPr>
        <xdr:cNvPr id="10" name="Rounded Rectangle 9">
          <a:extLst>
            <a:ext uri="{FF2B5EF4-FFF2-40B4-BE49-F238E27FC236}">
              <a16:creationId xmlns:a16="http://schemas.microsoft.com/office/drawing/2014/main" id="{AC7477AD-9908-1745-BA84-630923DA93BB}"/>
            </a:ext>
          </a:extLst>
        </xdr:cNvPr>
        <xdr:cNvSpPr/>
      </xdr:nvSpPr>
      <xdr:spPr>
        <a:xfrm>
          <a:off x="9067800" y="1270000"/>
          <a:ext cx="1943100" cy="838200"/>
        </a:xfrm>
        <a:prstGeom prst="roundRect">
          <a:avLst/>
        </a:prstGeom>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lin ang="2700000" scaled="1"/>
          <a:tileRect/>
        </a:gradFill>
        <a:ln>
          <a:noFill/>
        </a:ln>
        <a:effectLst>
          <a:glow rad="63500">
            <a:srgbClr val="FF00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381000</xdr:colOff>
      <xdr:row>11</xdr:row>
      <xdr:rowOff>76200</xdr:rowOff>
    </xdr:from>
    <xdr:to>
      <xdr:col>9</xdr:col>
      <xdr:colOff>254000</xdr:colOff>
      <xdr:row>20</xdr:row>
      <xdr:rowOff>101600</xdr:rowOff>
    </xdr:to>
    <xdr:sp macro="" textlink="">
      <xdr:nvSpPr>
        <xdr:cNvPr id="11" name="Rounded Rectangle 10">
          <a:extLst>
            <a:ext uri="{FF2B5EF4-FFF2-40B4-BE49-F238E27FC236}">
              <a16:creationId xmlns:a16="http://schemas.microsoft.com/office/drawing/2014/main" id="{94BBEB6A-3E45-D595-41E7-3418E8C50EC6}"/>
            </a:ext>
          </a:extLst>
        </xdr:cNvPr>
        <xdr:cNvSpPr/>
      </xdr:nvSpPr>
      <xdr:spPr>
        <a:xfrm>
          <a:off x="4508500" y="2171700"/>
          <a:ext cx="3175000" cy="1739900"/>
        </a:xfrm>
        <a:prstGeom prst="roundRect">
          <a:avLst/>
        </a:prstGeom>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342900</xdr:colOff>
      <xdr:row>20</xdr:row>
      <xdr:rowOff>165100</xdr:rowOff>
    </xdr:from>
    <xdr:to>
      <xdr:col>13</xdr:col>
      <xdr:colOff>292100</xdr:colOff>
      <xdr:row>30</xdr:row>
      <xdr:rowOff>0</xdr:rowOff>
    </xdr:to>
    <xdr:sp macro="" textlink="">
      <xdr:nvSpPr>
        <xdr:cNvPr id="13" name="Rounded Rectangle 12">
          <a:extLst>
            <a:ext uri="{FF2B5EF4-FFF2-40B4-BE49-F238E27FC236}">
              <a16:creationId xmlns:a16="http://schemas.microsoft.com/office/drawing/2014/main" id="{D4EE5A47-F0A3-844D-BC07-A3D296AC6622}"/>
            </a:ext>
          </a:extLst>
        </xdr:cNvPr>
        <xdr:cNvSpPr/>
      </xdr:nvSpPr>
      <xdr:spPr>
        <a:xfrm>
          <a:off x="7772400" y="3975100"/>
          <a:ext cx="3251200" cy="1739900"/>
        </a:xfrm>
        <a:prstGeom prst="roundRect">
          <a:avLst/>
        </a:prstGeom>
        <a:gradFill>
          <a:gsLst>
            <a:gs pos="0">
              <a:schemeClr val="accent2">
                <a:tint val="66000"/>
                <a:satMod val="160000"/>
              </a:schemeClr>
            </a:gs>
            <a:gs pos="20000">
              <a:schemeClr val="accent2">
                <a:tint val="44500"/>
                <a:satMod val="160000"/>
              </a:schemeClr>
            </a:gs>
            <a:gs pos="100000">
              <a:schemeClr val="accent2">
                <a:tint val="23500"/>
                <a:satMod val="160000"/>
              </a:schemeClr>
            </a:gs>
          </a:gsLst>
          <a:lin ang="2700000" scaled="1"/>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330200</xdr:colOff>
      <xdr:row>11</xdr:row>
      <xdr:rowOff>88900</xdr:rowOff>
    </xdr:from>
    <xdr:to>
      <xdr:col>13</xdr:col>
      <xdr:colOff>342900</xdr:colOff>
      <xdr:row>20</xdr:row>
      <xdr:rowOff>114300</xdr:rowOff>
    </xdr:to>
    <xdr:sp macro="" textlink="">
      <xdr:nvSpPr>
        <xdr:cNvPr id="14" name="Rounded Rectangle 13">
          <a:extLst>
            <a:ext uri="{FF2B5EF4-FFF2-40B4-BE49-F238E27FC236}">
              <a16:creationId xmlns:a16="http://schemas.microsoft.com/office/drawing/2014/main" id="{4DADA6EF-D2E1-D149-909B-0AFE4114DE2F}"/>
            </a:ext>
          </a:extLst>
        </xdr:cNvPr>
        <xdr:cNvSpPr/>
      </xdr:nvSpPr>
      <xdr:spPr>
        <a:xfrm>
          <a:off x="7759700" y="2184400"/>
          <a:ext cx="3314700" cy="1739900"/>
        </a:xfrm>
        <a:prstGeom prst="roundRect">
          <a:avLst/>
        </a:prstGeom>
        <a:solidFill>
          <a:schemeClr val="accent5">
            <a:lumMod val="20000"/>
            <a:lumOff val="80000"/>
          </a:schemeClr>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419100</xdr:colOff>
      <xdr:row>20</xdr:row>
      <xdr:rowOff>165100</xdr:rowOff>
    </xdr:from>
    <xdr:to>
      <xdr:col>9</xdr:col>
      <xdr:colOff>292100</xdr:colOff>
      <xdr:row>30</xdr:row>
      <xdr:rowOff>0</xdr:rowOff>
    </xdr:to>
    <xdr:sp macro="" textlink="">
      <xdr:nvSpPr>
        <xdr:cNvPr id="12" name="Rounded Rectangle 14">
          <a:extLst>
            <a:ext uri="{FF2B5EF4-FFF2-40B4-BE49-F238E27FC236}">
              <a16:creationId xmlns:a16="http://schemas.microsoft.com/office/drawing/2014/main" id="{75E0EFE2-7BBB-264A-8D7C-34630BCD31DD}"/>
            </a:ext>
          </a:extLst>
        </xdr:cNvPr>
        <xdr:cNvSpPr/>
      </xdr:nvSpPr>
      <xdr:spPr>
        <a:xfrm>
          <a:off x="4546600" y="3975100"/>
          <a:ext cx="3175000" cy="1739900"/>
        </a:xfrm>
        <a:prstGeom prst="roundRect">
          <a:avLst/>
        </a:prstGeom>
        <a:gradFill>
          <a:gsLst>
            <a:gs pos="0">
              <a:schemeClr val="accent3">
                <a:lumMod val="20000"/>
                <a:lumOff val="80000"/>
              </a:schemeClr>
            </a:gs>
            <a:gs pos="23000">
              <a:schemeClr val="accent6">
                <a:lumMod val="20000"/>
                <a:lumOff val="80000"/>
              </a:schemeClr>
            </a:gs>
            <a:gs pos="56000">
              <a:schemeClr val="accent3">
                <a:lumMod val="20000"/>
                <a:lumOff val="80000"/>
              </a:schemeClr>
            </a:gs>
            <a:gs pos="86000">
              <a:schemeClr val="accent6">
                <a:lumMod val="20000"/>
                <a:lumOff val="80000"/>
              </a:schemeClr>
            </a:gs>
          </a:gsLst>
          <a:lin ang="5400000" scaled="1"/>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accent3">
                <a:lumMod val="20000"/>
                <a:lumOff val="80000"/>
              </a:schemeClr>
            </a:solidFill>
          </a:endParaRPr>
        </a:p>
      </xdr:txBody>
    </xdr:sp>
    <xdr:clientData/>
  </xdr:twoCellAnchor>
  <xdr:twoCellAnchor>
    <xdr:from>
      <xdr:col>1</xdr:col>
      <xdr:colOff>482600</xdr:colOff>
      <xdr:row>20</xdr:row>
      <xdr:rowOff>177800</xdr:rowOff>
    </xdr:from>
    <xdr:to>
      <xdr:col>5</xdr:col>
      <xdr:colOff>355600</xdr:colOff>
      <xdr:row>30</xdr:row>
      <xdr:rowOff>12700</xdr:rowOff>
    </xdr:to>
    <xdr:sp macro="" textlink="">
      <xdr:nvSpPr>
        <xdr:cNvPr id="16" name="Rounded Rectangle 15">
          <a:extLst>
            <a:ext uri="{FF2B5EF4-FFF2-40B4-BE49-F238E27FC236}">
              <a16:creationId xmlns:a16="http://schemas.microsoft.com/office/drawing/2014/main" id="{12A44B04-9B66-814E-A24B-ADD1D31DBE98}"/>
            </a:ext>
          </a:extLst>
        </xdr:cNvPr>
        <xdr:cNvSpPr/>
      </xdr:nvSpPr>
      <xdr:spPr>
        <a:xfrm>
          <a:off x="1308100" y="3987800"/>
          <a:ext cx="3175000" cy="1739900"/>
        </a:xfrm>
        <a:prstGeom prst="roundRect">
          <a:avLst/>
        </a:prstGeom>
        <a:gradFill flip="none" rotWithShape="1">
          <a:gsLst>
            <a:gs pos="0">
              <a:srgbClr val="7030A0">
                <a:tint val="66000"/>
                <a:satMod val="160000"/>
              </a:srgbClr>
            </a:gs>
            <a:gs pos="50000">
              <a:srgbClr val="7030A0">
                <a:tint val="44500"/>
                <a:satMod val="160000"/>
              </a:srgbClr>
            </a:gs>
            <a:gs pos="100000">
              <a:srgbClr val="7030A0">
                <a:tint val="23500"/>
                <a:satMod val="160000"/>
              </a:srgbClr>
            </a:gs>
          </a:gsLst>
          <a:lin ang="2700000" scaled="1"/>
          <a:tileRect/>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431800</xdr:colOff>
      <xdr:row>11</xdr:row>
      <xdr:rowOff>114300</xdr:rowOff>
    </xdr:from>
    <xdr:to>
      <xdr:col>5</xdr:col>
      <xdr:colOff>304800</xdr:colOff>
      <xdr:row>20</xdr:row>
      <xdr:rowOff>139700</xdr:rowOff>
    </xdr:to>
    <xdr:sp macro="" textlink="">
      <xdr:nvSpPr>
        <xdr:cNvPr id="17" name="Rounded Rectangle 16">
          <a:extLst>
            <a:ext uri="{FF2B5EF4-FFF2-40B4-BE49-F238E27FC236}">
              <a16:creationId xmlns:a16="http://schemas.microsoft.com/office/drawing/2014/main" id="{BC710DB4-3DBE-0641-8966-507A754EFB0C}"/>
            </a:ext>
          </a:extLst>
        </xdr:cNvPr>
        <xdr:cNvSpPr/>
      </xdr:nvSpPr>
      <xdr:spPr>
        <a:xfrm>
          <a:off x="1257300" y="2209800"/>
          <a:ext cx="3175000" cy="1739900"/>
        </a:xfrm>
        <a:prstGeom prst="roundRect">
          <a:avLst/>
        </a:prstGeom>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lin ang="2700000" scaled="1"/>
          <a:tileRect/>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xdr:col>
      <xdr:colOff>520700</xdr:colOff>
      <xdr:row>6</xdr:row>
      <xdr:rowOff>165100</xdr:rowOff>
    </xdr:from>
    <xdr:to>
      <xdr:col>3</xdr:col>
      <xdr:colOff>609600</xdr:colOff>
      <xdr:row>10</xdr:row>
      <xdr:rowOff>139700</xdr:rowOff>
    </xdr:to>
    <xdr:pic>
      <xdr:nvPicPr>
        <xdr:cNvPr id="19" name="Picture 18">
          <a:extLst>
            <a:ext uri="{FF2B5EF4-FFF2-40B4-BE49-F238E27FC236}">
              <a16:creationId xmlns:a16="http://schemas.microsoft.com/office/drawing/2014/main" id="{9D083810-742B-9EEE-AEB5-FD0EA2E1838D}"/>
            </a:ext>
          </a:extLst>
        </xdr:cNvPr>
        <xdr:cNvPicPr>
          <a:picLocks noChangeAspect="1"/>
        </xdr:cNvPicPr>
      </xdr:nvPicPr>
      <xdr:blipFill>
        <a:blip xmlns:r="http://schemas.openxmlformats.org/officeDocument/2006/relationships" r:embed="rId1"/>
        <a:stretch>
          <a:fillRect/>
        </a:stretch>
      </xdr:blipFill>
      <xdr:spPr>
        <a:xfrm>
          <a:off x="1346200" y="1308100"/>
          <a:ext cx="1739900" cy="736600"/>
        </a:xfrm>
        <a:prstGeom prst="rect">
          <a:avLst/>
        </a:prstGeom>
      </xdr:spPr>
    </xdr:pic>
    <xdr:clientData/>
  </xdr:twoCellAnchor>
  <xdr:twoCellAnchor editAs="oneCell">
    <xdr:from>
      <xdr:col>8</xdr:col>
      <xdr:colOff>609600</xdr:colOff>
      <xdr:row>6</xdr:row>
      <xdr:rowOff>127000</xdr:rowOff>
    </xdr:from>
    <xdr:to>
      <xdr:col>10</xdr:col>
      <xdr:colOff>762000</xdr:colOff>
      <xdr:row>10</xdr:row>
      <xdr:rowOff>139700</xdr:rowOff>
    </xdr:to>
    <xdr:pic>
      <xdr:nvPicPr>
        <xdr:cNvPr id="20" name="Picture 19">
          <a:extLst>
            <a:ext uri="{FF2B5EF4-FFF2-40B4-BE49-F238E27FC236}">
              <a16:creationId xmlns:a16="http://schemas.microsoft.com/office/drawing/2014/main" id="{B8639AA9-03BA-E240-D24F-DF4F503E1C02}"/>
            </a:ext>
          </a:extLst>
        </xdr:cNvPr>
        <xdr:cNvPicPr>
          <a:picLocks noChangeAspect="1"/>
        </xdr:cNvPicPr>
      </xdr:nvPicPr>
      <xdr:blipFill>
        <a:blip xmlns:r="http://schemas.openxmlformats.org/officeDocument/2006/relationships" r:embed="rId2"/>
        <a:stretch>
          <a:fillRect/>
        </a:stretch>
      </xdr:blipFill>
      <xdr:spPr>
        <a:xfrm>
          <a:off x="7213600" y="1270000"/>
          <a:ext cx="1803400" cy="774700"/>
        </a:xfrm>
        <a:prstGeom prst="rect">
          <a:avLst/>
        </a:prstGeom>
      </xdr:spPr>
    </xdr:pic>
    <xdr:clientData/>
  </xdr:twoCellAnchor>
  <xdr:twoCellAnchor editAs="oneCell">
    <xdr:from>
      <xdr:col>4</xdr:col>
      <xdr:colOff>127000</xdr:colOff>
      <xdr:row>6</xdr:row>
      <xdr:rowOff>165100</xdr:rowOff>
    </xdr:from>
    <xdr:to>
      <xdr:col>6</xdr:col>
      <xdr:colOff>381000</xdr:colOff>
      <xdr:row>10</xdr:row>
      <xdr:rowOff>139700</xdr:rowOff>
    </xdr:to>
    <xdr:pic>
      <xdr:nvPicPr>
        <xdr:cNvPr id="21" name="Picture 20">
          <a:extLst>
            <a:ext uri="{FF2B5EF4-FFF2-40B4-BE49-F238E27FC236}">
              <a16:creationId xmlns:a16="http://schemas.microsoft.com/office/drawing/2014/main" id="{DD8AD850-7A7A-5843-B283-2FCCC46FDCA0}"/>
            </a:ext>
          </a:extLst>
        </xdr:cNvPr>
        <xdr:cNvPicPr>
          <a:picLocks noChangeAspect="1"/>
        </xdr:cNvPicPr>
      </xdr:nvPicPr>
      <xdr:blipFill>
        <a:blip xmlns:r="http://schemas.openxmlformats.org/officeDocument/2006/relationships" r:embed="rId3"/>
        <a:stretch>
          <a:fillRect/>
        </a:stretch>
      </xdr:blipFill>
      <xdr:spPr>
        <a:xfrm>
          <a:off x="3429000" y="1308100"/>
          <a:ext cx="1905000" cy="736600"/>
        </a:xfrm>
        <a:prstGeom prst="rect">
          <a:avLst/>
        </a:prstGeom>
      </xdr:spPr>
    </xdr:pic>
    <xdr:clientData/>
  </xdr:twoCellAnchor>
  <xdr:twoCellAnchor editAs="oneCell">
    <xdr:from>
      <xdr:col>10</xdr:col>
      <xdr:colOff>812800</xdr:colOff>
      <xdr:row>7</xdr:row>
      <xdr:rowOff>25400</xdr:rowOff>
    </xdr:from>
    <xdr:to>
      <xdr:col>13</xdr:col>
      <xdr:colOff>419100</xdr:colOff>
      <xdr:row>10</xdr:row>
      <xdr:rowOff>165100</xdr:rowOff>
    </xdr:to>
    <xdr:pic>
      <xdr:nvPicPr>
        <xdr:cNvPr id="22" name="Picture 21">
          <a:extLst>
            <a:ext uri="{FF2B5EF4-FFF2-40B4-BE49-F238E27FC236}">
              <a16:creationId xmlns:a16="http://schemas.microsoft.com/office/drawing/2014/main" id="{0725EC70-6B0B-52FA-1925-356062997A60}"/>
            </a:ext>
          </a:extLst>
        </xdr:cNvPr>
        <xdr:cNvPicPr>
          <a:picLocks noChangeAspect="1"/>
        </xdr:cNvPicPr>
      </xdr:nvPicPr>
      <xdr:blipFill>
        <a:blip xmlns:r="http://schemas.openxmlformats.org/officeDocument/2006/relationships" r:embed="rId4"/>
        <a:stretch>
          <a:fillRect/>
        </a:stretch>
      </xdr:blipFill>
      <xdr:spPr>
        <a:xfrm>
          <a:off x="9067800" y="1358900"/>
          <a:ext cx="2082800" cy="711200"/>
        </a:xfrm>
        <a:prstGeom prst="rect">
          <a:avLst/>
        </a:prstGeom>
      </xdr:spPr>
    </xdr:pic>
    <xdr:clientData/>
  </xdr:twoCellAnchor>
  <xdr:twoCellAnchor editAs="oneCell">
    <xdr:from>
      <xdr:col>6</xdr:col>
      <xdr:colOff>393700</xdr:colOff>
      <xdr:row>7</xdr:row>
      <xdr:rowOff>12700</xdr:rowOff>
    </xdr:from>
    <xdr:to>
      <xdr:col>8</xdr:col>
      <xdr:colOff>317500</xdr:colOff>
      <xdr:row>10</xdr:row>
      <xdr:rowOff>165100</xdr:rowOff>
    </xdr:to>
    <xdr:pic>
      <xdr:nvPicPr>
        <xdr:cNvPr id="23" name="Picture 22">
          <a:extLst>
            <a:ext uri="{FF2B5EF4-FFF2-40B4-BE49-F238E27FC236}">
              <a16:creationId xmlns:a16="http://schemas.microsoft.com/office/drawing/2014/main" id="{67FD28E0-A0A4-6B2E-034D-5AF8683D8192}"/>
            </a:ext>
          </a:extLst>
        </xdr:cNvPr>
        <xdr:cNvPicPr>
          <a:picLocks noChangeAspect="1"/>
        </xdr:cNvPicPr>
      </xdr:nvPicPr>
      <xdr:blipFill>
        <a:blip xmlns:r="http://schemas.openxmlformats.org/officeDocument/2006/relationships" r:embed="rId5"/>
        <a:stretch>
          <a:fillRect/>
        </a:stretch>
      </xdr:blipFill>
      <xdr:spPr>
        <a:xfrm>
          <a:off x="5346700" y="1346200"/>
          <a:ext cx="1574800" cy="723900"/>
        </a:xfrm>
        <a:prstGeom prst="rect">
          <a:avLst/>
        </a:prstGeom>
      </xdr:spPr>
    </xdr:pic>
    <xdr:clientData/>
  </xdr:twoCellAnchor>
  <xdr:twoCellAnchor editAs="oneCell">
    <xdr:from>
      <xdr:col>0</xdr:col>
      <xdr:colOff>415840</xdr:colOff>
      <xdr:row>1</xdr:row>
      <xdr:rowOff>80134</xdr:rowOff>
    </xdr:from>
    <xdr:to>
      <xdr:col>3</xdr:col>
      <xdr:colOff>640620</xdr:colOff>
      <xdr:row>6</xdr:row>
      <xdr:rowOff>33716</xdr:rowOff>
    </xdr:to>
    <xdr:pic>
      <xdr:nvPicPr>
        <xdr:cNvPr id="24" name="Picture 23">
          <a:extLst>
            <a:ext uri="{FF2B5EF4-FFF2-40B4-BE49-F238E27FC236}">
              <a16:creationId xmlns:a16="http://schemas.microsoft.com/office/drawing/2014/main" id="{140E6E08-8D26-0ED2-8E8A-D140343CEDBB}"/>
            </a:ext>
          </a:extLst>
        </xdr:cNvPr>
        <xdr:cNvPicPr>
          <a:picLocks noChangeAspect="1"/>
        </xdr:cNvPicPr>
      </xdr:nvPicPr>
      <xdr:blipFill>
        <a:blip xmlns:r="http://schemas.openxmlformats.org/officeDocument/2006/relationships" r:embed="rId6"/>
        <a:stretch>
          <a:fillRect/>
        </a:stretch>
      </xdr:blipFill>
      <xdr:spPr>
        <a:xfrm>
          <a:off x="415840" y="271196"/>
          <a:ext cx="2686107" cy="908892"/>
        </a:xfrm>
        <a:prstGeom prst="rect">
          <a:avLst/>
        </a:prstGeom>
      </xdr:spPr>
    </xdr:pic>
    <xdr:clientData/>
  </xdr:twoCellAnchor>
  <xdr:twoCellAnchor editAs="oneCell">
    <xdr:from>
      <xdr:col>11</xdr:col>
      <xdr:colOff>635000</xdr:colOff>
      <xdr:row>0</xdr:row>
      <xdr:rowOff>177800</xdr:rowOff>
    </xdr:from>
    <xdr:to>
      <xdr:col>15</xdr:col>
      <xdr:colOff>723900</xdr:colOff>
      <xdr:row>5</xdr:row>
      <xdr:rowOff>88900</xdr:rowOff>
    </xdr:to>
    <xdr:pic>
      <xdr:nvPicPr>
        <xdr:cNvPr id="25" name="Picture 24">
          <a:extLst>
            <a:ext uri="{FF2B5EF4-FFF2-40B4-BE49-F238E27FC236}">
              <a16:creationId xmlns:a16="http://schemas.microsoft.com/office/drawing/2014/main" id="{7B30CC43-2C2A-2FF0-5EBE-CD776EBAE12B}"/>
            </a:ext>
          </a:extLst>
        </xdr:cNvPr>
        <xdr:cNvPicPr>
          <a:picLocks noChangeAspect="1"/>
        </xdr:cNvPicPr>
      </xdr:nvPicPr>
      <xdr:blipFill>
        <a:blip xmlns:r="http://schemas.openxmlformats.org/officeDocument/2006/relationships" r:embed="rId7"/>
        <a:stretch>
          <a:fillRect/>
        </a:stretch>
      </xdr:blipFill>
      <xdr:spPr>
        <a:xfrm>
          <a:off x="9715500" y="177800"/>
          <a:ext cx="3390900" cy="863600"/>
        </a:xfrm>
        <a:prstGeom prst="rect">
          <a:avLst/>
        </a:prstGeom>
      </xdr:spPr>
    </xdr:pic>
    <xdr:clientData/>
  </xdr:twoCellAnchor>
  <xdr:twoCellAnchor>
    <xdr:from>
      <xdr:col>3</xdr:col>
      <xdr:colOff>382124</xdr:colOff>
      <xdr:row>1</xdr:row>
      <xdr:rowOff>12700</xdr:rowOff>
    </xdr:from>
    <xdr:to>
      <xdr:col>6</xdr:col>
      <xdr:colOff>533400</xdr:colOff>
      <xdr:row>5</xdr:row>
      <xdr:rowOff>0</xdr:rowOff>
    </xdr:to>
    <xdr:sp macro="" textlink="">
      <xdr:nvSpPr>
        <xdr:cNvPr id="30" name="TextBox 29">
          <a:extLst>
            <a:ext uri="{FF2B5EF4-FFF2-40B4-BE49-F238E27FC236}">
              <a16:creationId xmlns:a16="http://schemas.microsoft.com/office/drawing/2014/main" id="{36EE1204-F5B4-B886-71CC-0DBD606AAD82}"/>
            </a:ext>
          </a:extLst>
        </xdr:cNvPr>
        <xdr:cNvSpPr txBox="1"/>
      </xdr:nvSpPr>
      <xdr:spPr>
        <a:xfrm>
          <a:off x="2843451" y="203762"/>
          <a:ext cx="2612604" cy="751548"/>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4300" b="1">
              <a:solidFill>
                <a:schemeClr val="bg1"/>
              </a:solidFill>
              <a:latin typeface="Calibri" panose="020F0502020204030204" pitchFamily="34" charset="0"/>
              <a:cs typeface="Calibri" panose="020F0502020204030204" pitchFamily="34" charset="0"/>
            </a:rPr>
            <a:t>Amazon</a:t>
          </a:r>
        </a:p>
      </xdr:txBody>
    </xdr:sp>
    <xdr:clientData/>
  </xdr:twoCellAnchor>
  <xdr:twoCellAnchor>
    <xdr:from>
      <xdr:col>5</xdr:col>
      <xdr:colOff>757116</xdr:colOff>
      <xdr:row>1</xdr:row>
      <xdr:rowOff>16282</xdr:rowOff>
    </xdr:from>
    <xdr:to>
      <xdr:col>8</xdr:col>
      <xdr:colOff>647701</xdr:colOff>
      <xdr:row>5</xdr:row>
      <xdr:rowOff>63500</xdr:rowOff>
    </xdr:to>
    <xdr:sp macro="" textlink="">
      <xdr:nvSpPr>
        <xdr:cNvPr id="31" name="TextBox 30">
          <a:extLst>
            <a:ext uri="{FF2B5EF4-FFF2-40B4-BE49-F238E27FC236}">
              <a16:creationId xmlns:a16="http://schemas.microsoft.com/office/drawing/2014/main" id="{28A138B5-4F4F-C7C4-7799-07BC6C9E2B0B}"/>
            </a:ext>
          </a:extLst>
        </xdr:cNvPr>
        <xdr:cNvSpPr txBox="1"/>
      </xdr:nvSpPr>
      <xdr:spPr>
        <a:xfrm>
          <a:off x="4868334" y="203526"/>
          <a:ext cx="2357316" cy="796192"/>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300" b="1">
              <a:solidFill>
                <a:srgbClr val="FFC000"/>
              </a:solidFill>
              <a:latin typeface="Calibri" panose="020F0502020204030204" pitchFamily="34" charset="0"/>
              <a:cs typeface="Calibri" panose="020F0502020204030204" pitchFamily="34" charset="0"/>
            </a:rPr>
            <a:t>Sales</a:t>
          </a:r>
        </a:p>
      </xdr:txBody>
    </xdr:sp>
    <xdr:clientData/>
  </xdr:twoCellAnchor>
  <xdr:twoCellAnchor>
    <xdr:from>
      <xdr:col>7</xdr:col>
      <xdr:colOff>374487</xdr:colOff>
      <xdr:row>1</xdr:row>
      <xdr:rowOff>16282</xdr:rowOff>
    </xdr:from>
    <xdr:to>
      <xdr:col>11</xdr:col>
      <xdr:colOff>622300</xdr:colOff>
      <xdr:row>4</xdr:row>
      <xdr:rowOff>152400</xdr:rowOff>
    </xdr:to>
    <xdr:sp macro="" textlink="">
      <xdr:nvSpPr>
        <xdr:cNvPr id="32" name="TextBox 31">
          <a:extLst>
            <a:ext uri="{FF2B5EF4-FFF2-40B4-BE49-F238E27FC236}">
              <a16:creationId xmlns:a16="http://schemas.microsoft.com/office/drawing/2014/main" id="{A90B8656-8171-785D-778A-229D9ECACC71}"/>
            </a:ext>
          </a:extLst>
        </xdr:cNvPr>
        <xdr:cNvSpPr txBox="1"/>
      </xdr:nvSpPr>
      <xdr:spPr>
        <a:xfrm>
          <a:off x="6130192" y="203526"/>
          <a:ext cx="3536787" cy="697848"/>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300" b="1">
              <a:solidFill>
                <a:srgbClr val="FFC000"/>
              </a:solidFill>
              <a:latin typeface="Calibri" panose="020F0502020204030204" pitchFamily="34" charset="0"/>
              <a:cs typeface="Calibri" panose="020F0502020204030204" pitchFamily="34" charset="0"/>
            </a:rPr>
            <a:t>Dashboard</a:t>
          </a:r>
        </a:p>
      </xdr:txBody>
    </xdr:sp>
    <xdr:clientData/>
  </xdr:twoCellAnchor>
  <xdr:twoCellAnchor>
    <xdr:from>
      <xdr:col>2</xdr:col>
      <xdr:colOff>373694</xdr:colOff>
      <xdr:row>7</xdr:row>
      <xdr:rowOff>70356</xdr:rowOff>
    </xdr:from>
    <xdr:to>
      <xdr:col>3</xdr:col>
      <xdr:colOff>729294</xdr:colOff>
      <xdr:row>9</xdr:row>
      <xdr:rowOff>95756</xdr:rowOff>
    </xdr:to>
    <xdr:sp macro="" textlink="pivottable!A18">
      <xdr:nvSpPr>
        <xdr:cNvPr id="33" name="TextBox 32">
          <a:extLst>
            <a:ext uri="{FF2B5EF4-FFF2-40B4-BE49-F238E27FC236}">
              <a16:creationId xmlns:a16="http://schemas.microsoft.com/office/drawing/2014/main" id="{5BC72A8E-C2F4-56A7-6EC1-ED337C9EEE66}"/>
            </a:ext>
          </a:extLst>
        </xdr:cNvPr>
        <xdr:cNvSpPr txBox="1"/>
      </xdr:nvSpPr>
      <xdr:spPr>
        <a:xfrm>
          <a:off x="2014579" y="1407790"/>
          <a:ext cx="1176042" cy="407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8D1FB6-7E4D-DE44-A122-23D6A75DC43E}" type="TxLink">
            <a:rPr lang="en-US" sz="1800" b="1" i="0" u="none" strike="noStrike">
              <a:solidFill>
                <a:srgbClr val="000000"/>
              </a:solidFill>
              <a:latin typeface="Aptos Narrow"/>
            </a:rPr>
            <a:t>23.0M</a:t>
          </a:fld>
          <a:endParaRPr lang="en-US" sz="1800" b="1"/>
        </a:p>
      </xdr:txBody>
    </xdr:sp>
    <xdr:clientData/>
  </xdr:twoCellAnchor>
  <xdr:twoCellAnchor>
    <xdr:from>
      <xdr:col>2</xdr:col>
      <xdr:colOff>165100</xdr:colOff>
      <xdr:row>8</xdr:row>
      <xdr:rowOff>152400</xdr:rowOff>
    </xdr:from>
    <xdr:to>
      <xdr:col>2</xdr:col>
      <xdr:colOff>812800</xdr:colOff>
      <xdr:row>10</xdr:row>
      <xdr:rowOff>63500</xdr:rowOff>
    </xdr:to>
    <xdr:sp macro="" textlink="">
      <xdr:nvSpPr>
        <xdr:cNvPr id="38" name="TextBox 37">
          <a:extLst>
            <a:ext uri="{FF2B5EF4-FFF2-40B4-BE49-F238E27FC236}">
              <a16:creationId xmlns:a16="http://schemas.microsoft.com/office/drawing/2014/main" id="{8B1C0A70-5A9E-F9D9-05FE-3A3DB11A4421}"/>
            </a:ext>
          </a:extLst>
        </xdr:cNvPr>
        <xdr:cNvSpPr txBox="1"/>
      </xdr:nvSpPr>
      <xdr:spPr>
        <a:xfrm>
          <a:off x="1816100" y="1676400"/>
          <a:ext cx="6477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tx1"/>
              </a:solidFill>
              <a:latin typeface="Calibri" panose="020F0502020204030204" pitchFamily="34" charset="0"/>
              <a:cs typeface="Calibri" panose="020F0502020204030204" pitchFamily="34" charset="0"/>
            </a:rPr>
            <a:t>Total</a:t>
          </a:r>
        </a:p>
      </xdr:txBody>
    </xdr:sp>
    <xdr:clientData/>
  </xdr:twoCellAnchor>
  <xdr:twoCellAnchor>
    <xdr:from>
      <xdr:col>2</xdr:col>
      <xdr:colOff>685800</xdr:colOff>
      <xdr:row>8</xdr:row>
      <xdr:rowOff>139700</xdr:rowOff>
    </xdr:from>
    <xdr:to>
      <xdr:col>3</xdr:col>
      <xdr:colOff>558800</xdr:colOff>
      <xdr:row>10</xdr:row>
      <xdr:rowOff>63500</xdr:rowOff>
    </xdr:to>
    <xdr:sp macro="" textlink="">
      <xdr:nvSpPr>
        <xdr:cNvPr id="41" name="TextBox 40">
          <a:extLst>
            <a:ext uri="{FF2B5EF4-FFF2-40B4-BE49-F238E27FC236}">
              <a16:creationId xmlns:a16="http://schemas.microsoft.com/office/drawing/2014/main" id="{89F78D73-5CCE-993D-6D10-3BD4C913E55F}"/>
            </a:ext>
          </a:extLst>
        </xdr:cNvPr>
        <xdr:cNvSpPr txBox="1"/>
      </xdr:nvSpPr>
      <xdr:spPr>
        <a:xfrm>
          <a:off x="2336800" y="1663700"/>
          <a:ext cx="6985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latin typeface="Calibri" panose="020F0502020204030204" pitchFamily="34" charset="0"/>
              <a:cs typeface="Calibri" panose="020F0502020204030204" pitchFamily="34" charset="0"/>
            </a:rPr>
            <a:t>Sales</a:t>
          </a:r>
        </a:p>
      </xdr:txBody>
    </xdr:sp>
    <xdr:clientData/>
  </xdr:twoCellAnchor>
  <xdr:oneCellAnchor>
    <xdr:from>
      <xdr:col>4</xdr:col>
      <xdr:colOff>805494</xdr:colOff>
      <xdr:row>7</xdr:row>
      <xdr:rowOff>36639</xdr:rowOff>
    </xdr:from>
    <xdr:ext cx="850900" cy="377155"/>
    <xdr:sp macro="" textlink="pivottable!A16">
      <xdr:nvSpPr>
        <xdr:cNvPr id="42" name="TextBox 41">
          <a:extLst>
            <a:ext uri="{FF2B5EF4-FFF2-40B4-BE49-F238E27FC236}">
              <a16:creationId xmlns:a16="http://schemas.microsoft.com/office/drawing/2014/main" id="{9FB47966-05BD-7E29-7EBF-D19AE3EEA093}"/>
            </a:ext>
          </a:extLst>
        </xdr:cNvPr>
        <xdr:cNvSpPr txBox="1"/>
      </xdr:nvSpPr>
      <xdr:spPr>
        <a:xfrm>
          <a:off x="4087264" y="1374073"/>
          <a:ext cx="850900" cy="37715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7623CBD-F5C8-1948-90EB-E89D76CCF932}" type="TxLink">
            <a:rPr lang="en-US" sz="1800" b="1" i="0" u="none" strike="noStrike">
              <a:solidFill>
                <a:srgbClr val="000000"/>
              </a:solidFill>
              <a:latin typeface="Aptos Narrow"/>
              <a:cs typeface="Calibri" panose="020F0502020204030204" pitchFamily="34" charset="0"/>
            </a:rPr>
            <a:t>500</a:t>
          </a:fld>
          <a:endParaRPr lang="en-GB" sz="1800" b="1">
            <a:latin typeface="Calibri" panose="020F0502020204030204" pitchFamily="34" charset="0"/>
            <a:cs typeface="Calibri" panose="020F0502020204030204" pitchFamily="34" charset="0"/>
          </a:endParaRPr>
        </a:p>
      </xdr:txBody>
    </xdr:sp>
    <xdr:clientData/>
  </xdr:oneCellAnchor>
  <xdr:oneCellAnchor>
    <xdr:from>
      <xdr:col>4</xdr:col>
      <xdr:colOff>533400</xdr:colOff>
      <xdr:row>8</xdr:row>
      <xdr:rowOff>101600</xdr:rowOff>
    </xdr:from>
    <xdr:ext cx="759037" cy="381000"/>
    <xdr:sp macro="" textlink="">
      <xdr:nvSpPr>
        <xdr:cNvPr id="44" name="TextBox 43">
          <a:extLst>
            <a:ext uri="{FF2B5EF4-FFF2-40B4-BE49-F238E27FC236}">
              <a16:creationId xmlns:a16="http://schemas.microsoft.com/office/drawing/2014/main" id="{7A5B2E38-C655-9F1B-F482-25B54603AE96}"/>
            </a:ext>
          </a:extLst>
        </xdr:cNvPr>
        <xdr:cNvSpPr txBox="1"/>
      </xdr:nvSpPr>
      <xdr:spPr>
        <a:xfrm>
          <a:off x="3835400" y="1625600"/>
          <a:ext cx="759037"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600" b="1">
              <a:latin typeface="Calibri" panose="020F0502020204030204" pitchFamily="34" charset="0"/>
              <a:cs typeface="Calibri" panose="020F0502020204030204" pitchFamily="34" charset="0"/>
            </a:rPr>
            <a:t>Total</a:t>
          </a:r>
        </a:p>
      </xdr:txBody>
    </xdr:sp>
    <xdr:clientData/>
  </xdr:oneCellAnchor>
  <xdr:oneCellAnchor>
    <xdr:from>
      <xdr:col>5</xdr:col>
      <xdr:colOff>215900</xdr:colOff>
      <xdr:row>8</xdr:row>
      <xdr:rowOff>114300</xdr:rowOff>
    </xdr:from>
    <xdr:ext cx="967833" cy="342786"/>
    <xdr:sp macro="" textlink="">
      <xdr:nvSpPr>
        <xdr:cNvPr id="45" name="TextBox 44">
          <a:extLst>
            <a:ext uri="{FF2B5EF4-FFF2-40B4-BE49-F238E27FC236}">
              <a16:creationId xmlns:a16="http://schemas.microsoft.com/office/drawing/2014/main" id="{C76F3D82-2010-F9B8-F858-F1664FADDC48}"/>
            </a:ext>
          </a:extLst>
        </xdr:cNvPr>
        <xdr:cNvSpPr txBox="1"/>
      </xdr:nvSpPr>
      <xdr:spPr>
        <a:xfrm>
          <a:off x="4343400" y="1638300"/>
          <a:ext cx="96783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600" b="1">
              <a:latin typeface="Calibri" panose="020F0502020204030204" pitchFamily="34" charset="0"/>
              <a:cs typeface="Calibri" panose="020F0502020204030204" pitchFamily="34" charset="0"/>
            </a:rPr>
            <a:t>Orders</a:t>
          </a:r>
        </a:p>
      </xdr:txBody>
    </xdr:sp>
    <xdr:clientData/>
  </xdr:oneCellAnchor>
  <xdr:oneCellAnchor>
    <xdr:from>
      <xdr:col>7</xdr:col>
      <xdr:colOff>191511</xdr:colOff>
      <xdr:row>7</xdr:row>
      <xdr:rowOff>91373</xdr:rowOff>
    </xdr:from>
    <xdr:ext cx="876300" cy="368300"/>
    <xdr:sp macro="" textlink="pivottable!A17">
      <xdr:nvSpPr>
        <xdr:cNvPr id="46" name="TextBox 45">
          <a:extLst>
            <a:ext uri="{FF2B5EF4-FFF2-40B4-BE49-F238E27FC236}">
              <a16:creationId xmlns:a16="http://schemas.microsoft.com/office/drawing/2014/main" id="{970DF4E9-D447-446F-D9FE-355056AF6A36}"/>
            </a:ext>
          </a:extLst>
        </xdr:cNvPr>
        <xdr:cNvSpPr txBox="1"/>
      </xdr:nvSpPr>
      <xdr:spPr>
        <a:xfrm>
          <a:off x="5934608" y="1428807"/>
          <a:ext cx="876300" cy="368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EA2C617E-E824-494F-B458-6535CF77C43C}" type="TxLink">
            <a:rPr lang="en-US" sz="1800" b="1" i="0" u="none" strike="noStrike">
              <a:solidFill>
                <a:srgbClr val="000000"/>
              </a:solidFill>
              <a:latin typeface="Aptos Narrow"/>
              <a:cs typeface="Calibri" panose="020F0502020204030204" pitchFamily="34" charset="0"/>
            </a:rPr>
            <a:t>4.12</a:t>
          </a:fld>
          <a:endParaRPr lang="en-GB" sz="1800" b="1">
            <a:latin typeface="Calibri" panose="020F0502020204030204" pitchFamily="34" charset="0"/>
            <a:cs typeface="Calibri" panose="020F0502020204030204" pitchFamily="34" charset="0"/>
          </a:endParaRPr>
        </a:p>
      </xdr:txBody>
    </xdr:sp>
    <xdr:clientData/>
  </xdr:oneCellAnchor>
  <xdr:oneCellAnchor>
    <xdr:from>
      <xdr:col>6</xdr:col>
      <xdr:colOff>711200</xdr:colOff>
      <xdr:row>8</xdr:row>
      <xdr:rowOff>127000</xdr:rowOff>
    </xdr:from>
    <xdr:ext cx="876300" cy="304686"/>
    <xdr:sp macro="" textlink="">
      <xdr:nvSpPr>
        <xdr:cNvPr id="47" name="TextBox 46">
          <a:extLst>
            <a:ext uri="{FF2B5EF4-FFF2-40B4-BE49-F238E27FC236}">
              <a16:creationId xmlns:a16="http://schemas.microsoft.com/office/drawing/2014/main" id="{724EBD87-3329-4370-D345-C803BB8A817F}"/>
            </a:ext>
          </a:extLst>
        </xdr:cNvPr>
        <xdr:cNvSpPr txBox="1"/>
      </xdr:nvSpPr>
      <xdr:spPr>
        <a:xfrm>
          <a:off x="5664200" y="1651000"/>
          <a:ext cx="876300" cy="3046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600" b="1">
              <a:latin typeface="Calibri" panose="020F0502020204030204" pitchFamily="34" charset="0"/>
              <a:cs typeface="Calibri" panose="020F0502020204030204" pitchFamily="34" charset="0"/>
            </a:rPr>
            <a:t>Average</a:t>
          </a:r>
        </a:p>
      </xdr:txBody>
    </xdr:sp>
    <xdr:clientData/>
  </xdr:oneCellAnchor>
  <xdr:oneCellAnchor>
    <xdr:from>
      <xdr:col>7</xdr:col>
      <xdr:colOff>622300</xdr:colOff>
      <xdr:row>8</xdr:row>
      <xdr:rowOff>114300</xdr:rowOff>
    </xdr:from>
    <xdr:ext cx="920893" cy="342786"/>
    <xdr:sp macro="" textlink="">
      <xdr:nvSpPr>
        <xdr:cNvPr id="48" name="TextBox 47">
          <a:extLst>
            <a:ext uri="{FF2B5EF4-FFF2-40B4-BE49-F238E27FC236}">
              <a16:creationId xmlns:a16="http://schemas.microsoft.com/office/drawing/2014/main" id="{E71E2833-61B3-A36E-C687-F15B0E0126AD}"/>
            </a:ext>
          </a:extLst>
        </xdr:cNvPr>
        <xdr:cNvSpPr txBox="1"/>
      </xdr:nvSpPr>
      <xdr:spPr>
        <a:xfrm>
          <a:off x="6400800" y="1638300"/>
          <a:ext cx="92089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600" b="1">
              <a:latin typeface="Calibri" panose="020F0502020204030204" pitchFamily="34" charset="0"/>
              <a:cs typeface="Calibri" panose="020F0502020204030204" pitchFamily="34" charset="0"/>
            </a:rPr>
            <a:t>Rating</a:t>
          </a:r>
        </a:p>
      </xdr:txBody>
    </xdr:sp>
    <xdr:clientData/>
  </xdr:oneCellAnchor>
  <xdr:oneCellAnchor>
    <xdr:from>
      <xdr:col>9</xdr:col>
      <xdr:colOff>482151</xdr:colOff>
      <xdr:row>7</xdr:row>
      <xdr:rowOff>33717</xdr:rowOff>
    </xdr:from>
    <xdr:ext cx="889000" cy="377155"/>
    <xdr:sp macro="" textlink="pivottable!A20">
      <xdr:nvSpPr>
        <xdr:cNvPr id="49" name="TextBox 48">
          <a:extLst>
            <a:ext uri="{FF2B5EF4-FFF2-40B4-BE49-F238E27FC236}">
              <a16:creationId xmlns:a16="http://schemas.microsoft.com/office/drawing/2014/main" id="{CE97926F-C728-640B-49A7-AD5F046225A9}"/>
            </a:ext>
          </a:extLst>
        </xdr:cNvPr>
        <xdr:cNvSpPr txBox="1"/>
      </xdr:nvSpPr>
      <xdr:spPr>
        <a:xfrm>
          <a:off x="7866133" y="1371151"/>
          <a:ext cx="889000" cy="37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BAD4960-D653-EB44-993E-2341736B8903}" type="TxLink">
            <a:rPr lang="en-US" sz="1800" b="1" i="0" u="none" strike="noStrike">
              <a:solidFill>
                <a:srgbClr val="000000"/>
              </a:solidFill>
              <a:latin typeface="Aptos Narrow"/>
              <a:cs typeface="Calibri" panose="020F0502020204030204" pitchFamily="34" charset="0"/>
            </a:rPr>
            <a:t>2.3k</a:t>
          </a:fld>
          <a:endParaRPr lang="en-GB" sz="1800" b="1">
            <a:latin typeface="Calibri" panose="020F0502020204030204" pitchFamily="34" charset="0"/>
            <a:cs typeface="Calibri" panose="020F0502020204030204" pitchFamily="34" charset="0"/>
          </a:endParaRPr>
        </a:p>
      </xdr:txBody>
    </xdr:sp>
    <xdr:clientData/>
  </xdr:oneCellAnchor>
  <xdr:oneCellAnchor>
    <xdr:from>
      <xdr:col>9</xdr:col>
      <xdr:colOff>177800</xdr:colOff>
      <xdr:row>8</xdr:row>
      <xdr:rowOff>88900</xdr:rowOff>
    </xdr:from>
    <xdr:ext cx="720937" cy="355486"/>
    <xdr:sp macro="" textlink="">
      <xdr:nvSpPr>
        <xdr:cNvPr id="50" name="TextBox 49">
          <a:extLst>
            <a:ext uri="{FF2B5EF4-FFF2-40B4-BE49-F238E27FC236}">
              <a16:creationId xmlns:a16="http://schemas.microsoft.com/office/drawing/2014/main" id="{A23D0465-DE5F-D301-4DA4-9811C8934BE4}"/>
            </a:ext>
          </a:extLst>
        </xdr:cNvPr>
        <xdr:cNvSpPr txBox="1"/>
      </xdr:nvSpPr>
      <xdr:spPr>
        <a:xfrm>
          <a:off x="7607300" y="1612900"/>
          <a:ext cx="720937" cy="3554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600" b="1">
              <a:latin typeface="Calibri" panose="020F0502020204030204" pitchFamily="34" charset="0"/>
              <a:cs typeface="Calibri" panose="020F0502020204030204" pitchFamily="34" charset="0"/>
            </a:rPr>
            <a:t>Total</a:t>
          </a:r>
        </a:p>
      </xdr:txBody>
    </xdr:sp>
    <xdr:clientData/>
  </xdr:oneCellAnchor>
  <xdr:oneCellAnchor>
    <xdr:from>
      <xdr:col>9</xdr:col>
      <xdr:colOff>647700</xdr:colOff>
      <xdr:row>8</xdr:row>
      <xdr:rowOff>101600</xdr:rowOff>
    </xdr:from>
    <xdr:ext cx="977901" cy="342786"/>
    <xdr:sp macro="" textlink="">
      <xdr:nvSpPr>
        <xdr:cNvPr id="51" name="TextBox 50">
          <a:extLst>
            <a:ext uri="{FF2B5EF4-FFF2-40B4-BE49-F238E27FC236}">
              <a16:creationId xmlns:a16="http://schemas.microsoft.com/office/drawing/2014/main" id="{2EF62014-17A7-D47E-6C10-8BE3759CC0C0}"/>
            </a:ext>
          </a:extLst>
        </xdr:cNvPr>
        <xdr:cNvSpPr txBox="1"/>
      </xdr:nvSpPr>
      <xdr:spPr>
        <a:xfrm>
          <a:off x="8077200" y="1625600"/>
          <a:ext cx="97790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600" b="1">
              <a:latin typeface="Calibri" panose="020F0502020204030204" pitchFamily="34" charset="0"/>
              <a:cs typeface="Calibri" panose="020F0502020204030204" pitchFamily="34" charset="0"/>
            </a:rPr>
            <a:t>Quantity</a:t>
          </a:r>
        </a:p>
      </xdr:txBody>
    </xdr:sp>
    <xdr:clientData/>
  </xdr:oneCellAnchor>
  <xdr:oneCellAnchor>
    <xdr:from>
      <xdr:col>11</xdr:col>
      <xdr:colOff>622300</xdr:colOff>
      <xdr:row>7</xdr:row>
      <xdr:rowOff>12700</xdr:rowOff>
    </xdr:from>
    <xdr:ext cx="643061" cy="419100"/>
    <xdr:sp macro="" textlink="pivottable!A19">
      <xdr:nvSpPr>
        <xdr:cNvPr id="52" name="TextBox 51">
          <a:extLst>
            <a:ext uri="{FF2B5EF4-FFF2-40B4-BE49-F238E27FC236}">
              <a16:creationId xmlns:a16="http://schemas.microsoft.com/office/drawing/2014/main" id="{43B3E0AE-9E6D-9520-19B5-F3A49389BF0E}"/>
            </a:ext>
          </a:extLst>
        </xdr:cNvPr>
        <xdr:cNvSpPr txBox="1"/>
      </xdr:nvSpPr>
      <xdr:spPr>
        <a:xfrm>
          <a:off x="9702800" y="1346200"/>
          <a:ext cx="643061" cy="41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7B0BEC03-AF57-C347-945D-CAC4635CC49E}" type="TxLink">
            <a:rPr lang="en-US" sz="1800" b="1" i="0" u="none" strike="noStrike">
              <a:solidFill>
                <a:srgbClr val="000000"/>
              </a:solidFill>
              <a:latin typeface="Aptos Narrow"/>
              <a:cs typeface="Calibri" panose="020F0502020204030204" pitchFamily="34" charset="0"/>
            </a:rPr>
            <a:t>4.29</a:t>
          </a:fld>
          <a:endParaRPr lang="en-GB" sz="1800" b="1">
            <a:latin typeface="Calibri" panose="020F0502020204030204" pitchFamily="34" charset="0"/>
            <a:cs typeface="Calibri" panose="020F0502020204030204" pitchFamily="34" charset="0"/>
          </a:endParaRPr>
        </a:p>
      </xdr:txBody>
    </xdr:sp>
    <xdr:clientData/>
  </xdr:oneCellAnchor>
  <xdr:oneCellAnchor>
    <xdr:from>
      <xdr:col>11</xdr:col>
      <xdr:colOff>393700</xdr:colOff>
      <xdr:row>8</xdr:row>
      <xdr:rowOff>76200</xdr:rowOff>
    </xdr:from>
    <xdr:ext cx="876300" cy="342786"/>
    <xdr:sp macro="" textlink="">
      <xdr:nvSpPr>
        <xdr:cNvPr id="53" name="TextBox 52">
          <a:extLst>
            <a:ext uri="{FF2B5EF4-FFF2-40B4-BE49-F238E27FC236}">
              <a16:creationId xmlns:a16="http://schemas.microsoft.com/office/drawing/2014/main" id="{1182789C-285E-2FD1-2018-68B7E106EA7A}"/>
            </a:ext>
          </a:extLst>
        </xdr:cNvPr>
        <xdr:cNvSpPr txBox="1"/>
      </xdr:nvSpPr>
      <xdr:spPr>
        <a:xfrm>
          <a:off x="9474200" y="1600200"/>
          <a:ext cx="8763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600" b="1">
              <a:latin typeface="Calibri" panose="020F0502020204030204" pitchFamily="34" charset="0"/>
              <a:cs typeface="Calibri" panose="020F0502020204030204" pitchFamily="34" charset="0"/>
            </a:rPr>
            <a:t>Average</a:t>
          </a:r>
        </a:p>
      </xdr:txBody>
    </xdr:sp>
    <xdr:clientData/>
  </xdr:oneCellAnchor>
  <xdr:oneCellAnchor>
    <xdr:from>
      <xdr:col>12</xdr:col>
      <xdr:colOff>279401</xdr:colOff>
      <xdr:row>8</xdr:row>
      <xdr:rowOff>88900</xdr:rowOff>
    </xdr:from>
    <xdr:ext cx="1003300" cy="355486"/>
    <xdr:sp macro="" textlink="">
      <xdr:nvSpPr>
        <xdr:cNvPr id="54" name="TextBox 53">
          <a:extLst>
            <a:ext uri="{FF2B5EF4-FFF2-40B4-BE49-F238E27FC236}">
              <a16:creationId xmlns:a16="http://schemas.microsoft.com/office/drawing/2014/main" id="{8AC397BD-2854-06E0-27FC-E8F2F2DD226B}"/>
            </a:ext>
          </a:extLst>
        </xdr:cNvPr>
        <xdr:cNvSpPr txBox="1"/>
      </xdr:nvSpPr>
      <xdr:spPr>
        <a:xfrm>
          <a:off x="10185401" y="1612900"/>
          <a:ext cx="1003300" cy="3554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600" b="1">
              <a:latin typeface="Calibri" panose="020F0502020204030204" pitchFamily="34" charset="0"/>
              <a:cs typeface="Calibri" panose="020F0502020204030204" pitchFamily="34" charset="0"/>
            </a:rPr>
            <a:t>Delivery</a:t>
          </a:r>
        </a:p>
      </xdr:txBody>
    </xdr:sp>
    <xdr:clientData/>
  </xdr:oneCellAnchor>
  <xdr:twoCellAnchor>
    <xdr:from>
      <xdr:col>1</xdr:col>
      <xdr:colOff>495300</xdr:colOff>
      <xdr:row>12</xdr:row>
      <xdr:rowOff>42334</xdr:rowOff>
    </xdr:from>
    <xdr:to>
      <xdr:col>5</xdr:col>
      <xdr:colOff>139700</xdr:colOff>
      <xdr:row>20</xdr:row>
      <xdr:rowOff>4233</xdr:rowOff>
    </xdr:to>
    <xdr:graphicFrame macro="">
      <xdr:nvGraphicFramePr>
        <xdr:cNvPr id="55" name="Chart 54">
          <a:extLst>
            <a:ext uri="{FF2B5EF4-FFF2-40B4-BE49-F238E27FC236}">
              <a16:creationId xmlns:a16="http://schemas.microsoft.com/office/drawing/2014/main" id="{04EDD065-F05C-9B4E-B6EA-431C0ED5E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455898</xdr:colOff>
      <xdr:row>17</xdr:row>
      <xdr:rowOff>24423</xdr:rowOff>
    </xdr:from>
    <xdr:to>
      <xdr:col>7</xdr:col>
      <xdr:colOff>659424</xdr:colOff>
      <xdr:row>18</xdr:row>
      <xdr:rowOff>73269</xdr:rowOff>
    </xdr:to>
    <xdr:graphicFrame macro="">
      <xdr:nvGraphicFramePr>
        <xdr:cNvPr id="56" name="Chart 55">
          <a:extLst>
            <a:ext uri="{FF2B5EF4-FFF2-40B4-BE49-F238E27FC236}">
              <a16:creationId xmlns:a16="http://schemas.microsoft.com/office/drawing/2014/main" id="{E8AF1242-4003-394B-B767-8EB466731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728133</xdr:colOff>
      <xdr:row>12</xdr:row>
      <xdr:rowOff>0</xdr:rowOff>
    </xdr:from>
    <xdr:to>
      <xdr:col>7</xdr:col>
      <xdr:colOff>364067</xdr:colOff>
      <xdr:row>13</xdr:row>
      <xdr:rowOff>169334</xdr:rowOff>
    </xdr:to>
    <xdr:sp macro="" textlink="">
      <xdr:nvSpPr>
        <xdr:cNvPr id="57" name="TextBox 56">
          <a:extLst>
            <a:ext uri="{FF2B5EF4-FFF2-40B4-BE49-F238E27FC236}">
              <a16:creationId xmlns:a16="http://schemas.microsoft.com/office/drawing/2014/main" id="{119DB1AF-1763-3996-4E5C-EAA07EBF4A5E}"/>
            </a:ext>
          </a:extLst>
        </xdr:cNvPr>
        <xdr:cNvSpPr txBox="1"/>
      </xdr:nvSpPr>
      <xdr:spPr>
        <a:xfrm>
          <a:off x="5706533" y="2336800"/>
          <a:ext cx="465667" cy="36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600" b="1"/>
        </a:p>
      </xdr:txBody>
    </xdr:sp>
    <xdr:clientData/>
  </xdr:twoCellAnchor>
  <xdr:twoCellAnchor>
    <xdr:from>
      <xdr:col>7</xdr:col>
      <xdr:colOff>160867</xdr:colOff>
      <xdr:row>12</xdr:row>
      <xdr:rowOff>25399</xdr:rowOff>
    </xdr:from>
    <xdr:to>
      <xdr:col>8</xdr:col>
      <xdr:colOff>457200</xdr:colOff>
      <xdr:row>13</xdr:row>
      <xdr:rowOff>169333</xdr:rowOff>
    </xdr:to>
    <xdr:sp macro="" textlink="">
      <xdr:nvSpPr>
        <xdr:cNvPr id="58" name="TextBox 57">
          <a:extLst>
            <a:ext uri="{FF2B5EF4-FFF2-40B4-BE49-F238E27FC236}">
              <a16:creationId xmlns:a16="http://schemas.microsoft.com/office/drawing/2014/main" id="{0592A65A-4812-D176-AD1D-E6B8A75EE832}"/>
            </a:ext>
          </a:extLst>
        </xdr:cNvPr>
        <xdr:cNvSpPr txBox="1"/>
      </xdr:nvSpPr>
      <xdr:spPr>
        <a:xfrm>
          <a:off x="5969000" y="2362199"/>
          <a:ext cx="1126067"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500" b="1"/>
        </a:p>
      </xdr:txBody>
    </xdr:sp>
    <xdr:clientData/>
  </xdr:twoCellAnchor>
  <xdr:twoCellAnchor>
    <xdr:from>
      <xdr:col>9</xdr:col>
      <xdr:colOff>352994</xdr:colOff>
      <xdr:row>11</xdr:row>
      <xdr:rowOff>146106</xdr:rowOff>
    </xdr:from>
    <xdr:to>
      <xdr:col>10</xdr:col>
      <xdr:colOff>805962</xdr:colOff>
      <xdr:row>20</xdr:row>
      <xdr:rowOff>82711</xdr:rowOff>
    </xdr:to>
    <mc:AlternateContent xmlns:mc="http://schemas.openxmlformats.org/markup-compatibility/2006">
      <mc:Choice xmlns:cx4="http://schemas.microsoft.com/office/drawing/2016/5/10/chartex" Requires="cx4">
        <xdr:graphicFrame macro="">
          <xdr:nvGraphicFramePr>
            <xdr:cNvPr id="43" name="Chart 58">
              <a:extLst>
                <a:ext uri="{FF2B5EF4-FFF2-40B4-BE49-F238E27FC236}">
                  <a16:creationId xmlns:a16="http://schemas.microsoft.com/office/drawing/2014/main" id="{8F0215A5-5E40-6A4F-8CFA-185ACE46D3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782494" y="2241606"/>
              <a:ext cx="1278468" cy="165110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170962</xdr:colOff>
      <xdr:row>18</xdr:row>
      <xdr:rowOff>113973</xdr:rowOff>
    </xdr:from>
    <xdr:to>
      <xdr:col>11</xdr:col>
      <xdr:colOff>209551</xdr:colOff>
      <xdr:row>19</xdr:row>
      <xdr:rowOff>138397</xdr:rowOff>
    </xdr:to>
    <xdr:sp macro="" textlink="">
      <xdr:nvSpPr>
        <xdr:cNvPr id="61" name="TextBox 59">
          <a:extLst>
            <a:ext uri="{FF2B5EF4-FFF2-40B4-BE49-F238E27FC236}">
              <a16:creationId xmlns:a16="http://schemas.microsoft.com/office/drawing/2014/main" id="{89A578E1-FF7C-10F5-D395-F2654CC72AF5}"/>
            </a:ext>
          </a:extLst>
        </xdr:cNvPr>
        <xdr:cNvSpPr txBox="1"/>
      </xdr:nvSpPr>
      <xdr:spPr>
        <a:xfrm>
          <a:off x="8393398" y="3484358"/>
          <a:ext cx="860832" cy="211667"/>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9</xdr:col>
      <xdr:colOff>504744</xdr:colOff>
      <xdr:row>19</xdr:row>
      <xdr:rowOff>81409</xdr:rowOff>
    </xdr:from>
    <xdr:to>
      <xdr:col>11</xdr:col>
      <xdr:colOff>177800</xdr:colOff>
      <xdr:row>19</xdr:row>
      <xdr:rowOff>186266</xdr:rowOff>
    </xdr:to>
    <xdr:sp macro="" textlink="">
      <xdr:nvSpPr>
        <xdr:cNvPr id="60" name="TextBox 14">
          <a:extLst>
            <a:ext uri="{FF2B5EF4-FFF2-40B4-BE49-F238E27FC236}">
              <a16:creationId xmlns:a16="http://schemas.microsoft.com/office/drawing/2014/main" id="{A942DA4C-CE7D-CAC3-7E0B-4EED2CBE91D2}"/>
            </a:ext>
          </a:extLst>
        </xdr:cNvPr>
        <xdr:cNvSpPr txBox="1"/>
      </xdr:nvSpPr>
      <xdr:spPr>
        <a:xfrm>
          <a:off x="7904936" y="3639037"/>
          <a:ext cx="1317543" cy="104857"/>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5</xdr:col>
      <xdr:colOff>374488</xdr:colOff>
      <xdr:row>11</xdr:row>
      <xdr:rowOff>8142</xdr:rowOff>
    </xdr:from>
    <xdr:to>
      <xdr:col>9</xdr:col>
      <xdr:colOff>350064</xdr:colOff>
      <xdr:row>20</xdr:row>
      <xdr:rowOff>89552</xdr:rowOff>
    </xdr:to>
    <xdr:graphicFrame macro="">
      <xdr:nvGraphicFramePr>
        <xdr:cNvPr id="26" name="Chart 25">
          <a:extLst>
            <a:ext uri="{FF2B5EF4-FFF2-40B4-BE49-F238E27FC236}">
              <a16:creationId xmlns:a16="http://schemas.microsoft.com/office/drawing/2014/main" id="{57727F7E-6A11-CB41-AA08-4E2F8AB84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113974</xdr:colOff>
      <xdr:row>11</xdr:row>
      <xdr:rowOff>146539</xdr:rowOff>
    </xdr:from>
    <xdr:to>
      <xdr:col>7</xdr:col>
      <xdr:colOff>8141</xdr:colOff>
      <xdr:row>13</xdr:row>
      <xdr:rowOff>130256</xdr:rowOff>
    </xdr:to>
    <xdr:sp macro="" textlink="">
      <xdr:nvSpPr>
        <xdr:cNvPr id="28" name="TextBox 27">
          <a:extLst>
            <a:ext uri="{FF2B5EF4-FFF2-40B4-BE49-F238E27FC236}">
              <a16:creationId xmlns:a16="http://schemas.microsoft.com/office/drawing/2014/main" id="{4B64A18F-A19B-C8A6-044B-749B8496A7CC}"/>
            </a:ext>
          </a:extLst>
        </xdr:cNvPr>
        <xdr:cNvSpPr txBox="1"/>
      </xdr:nvSpPr>
      <xdr:spPr>
        <a:xfrm>
          <a:off x="5047436" y="2206218"/>
          <a:ext cx="716410" cy="358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500" b="1">
              <a:solidFill>
                <a:schemeClr val="tx1"/>
              </a:solidFill>
            </a:rPr>
            <a:t>Sales</a:t>
          </a:r>
        </a:p>
      </xdr:txBody>
    </xdr:sp>
    <xdr:clientData/>
  </xdr:twoCellAnchor>
  <xdr:twoCellAnchor>
    <xdr:from>
      <xdr:col>6</xdr:col>
      <xdr:colOff>618717</xdr:colOff>
      <xdr:row>11</xdr:row>
      <xdr:rowOff>138398</xdr:rowOff>
    </xdr:from>
    <xdr:to>
      <xdr:col>7</xdr:col>
      <xdr:colOff>293078</xdr:colOff>
      <xdr:row>13</xdr:row>
      <xdr:rowOff>89551</xdr:rowOff>
    </xdr:to>
    <xdr:sp macro="" textlink="">
      <xdr:nvSpPr>
        <xdr:cNvPr id="29" name="TextBox 28">
          <a:extLst>
            <a:ext uri="{FF2B5EF4-FFF2-40B4-BE49-F238E27FC236}">
              <a16:creationId xmlns:a16="http://schemas.microsoft.com/office/drawing/2014/main" id="{385DB441-17F3-6DCE-7F81-9640E18DF47C}"/>
            </a:ext>
          </a:extLst>
        </xdr:cNvPr>
        <xdr:cNvSpPr txBox="1"/>
      </xdr:nvSpPr>
      <xdr:spPr>
        <a:xfrm>
          <a:off x="5552179" y="2198077"/>
          <a:ext cx="496604" cy="325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500" b="1"/>
            <a:t>by</a:t>
          </a:r>
        </a:p>
      </xdr:txBody>
    </xdr:sp>
    <xdr:clientData/>
  </xdr:twoCellAnchor>
  <xdr:twoCellAnchor>
    <xdr:from>
      <xdr:col>7</xdr:col>
      <xdr:colOff>32563</xdr:colOff>
      <xdr:row>11</xdr:row>
      <xdr:rowOff>154680</xdr:rowOff>
    </xdr:from>
    <xdr:to>
      <xdr:col>8</xdr:col>
      <xdr:colOff>341922</xdr:colOff>
      <xdr:row>13</xdr:row>
      <xdr:rowOff>146538</xdr:rowOff>
    </xdr:to>
    <xdr:sp macro="" textlink="">
      <xdr:nvSpPr>
        <xdr:cNvPr id="34" name="TextBox 33">
          <a:extLst>
            <a:ext uri="{FF2B5EF4-FFF2-40B4-BE49-F238E27FC236}">
              <a16:creationId xmlns:a16="http://schemas.microsoft.com/office/drawing/2014/main" id="{E3F1C035-823B-748D-16BB-351985F6E10F}"/>
            </a:ext>
          </a:extLst>
        </xdr:cNvPr>
        <xdr:cNvSpPr txBox="1"/>
      </xdr:nvSpPr>
      <xdr:spPr>
        <a:xfrm>
          <a:off x="5788268" y="2214359"/>
          <a:ext cx="1131603" cy="36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500" b="1">
              <a:solidFill>
                <a:schemeClr val="tx1"/>
              </a:solidFill>
            </a:rPr>
            <a:t>Category</a:t>
          </a:r>
        </a:p>
      </xdr:txBody>
    </xdr:sp>
    <xdr:clientData/>
  </xdr:twoCellAnchor>
  <xdr:twoCellAnchor>
    <xdr:from>
      <xdr:col>9</xdr:col>
      <xdr:colOff>130256</xdr:colOff>
      <xdr:row>12</xdr:row>
      <xdr:rowOff>8141</xdr:rowOff>
    </xdr:from>
    <xdr:to>
      <xdr:col>13</xdr:col>
      <xdr:colOff>781536</xdr:colOff>
      <xdr:row>22</xdr:row>
      <xdr:rowOff>65128</xdr:rowOff>
    </xdr:to>
    <xdr:graphicFrame macro="">
      <xdr:nvGraphicFramePr>
        <xdr:cNvPr id="67" name="Chart 35">
          <a:extLst>
            <a:ext uri="{FF2B5EF4-FFF2-40B4-BE49-F238E27FC236}">
              <a16:creationId xmlns:a16="http://schemas.microsoft.com/office/drawing/2014/main" id="{DC9920B8-799D-AA48-89D9-63B5A12F3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325641</xdr:colOff>
      <xdr:row>12</xdr:row>
      <xdr:rowOff>0</xdr:rowOff>
    </xdr:from>
    <xdr:to>
      <xdr:col>11</xdr:col>
      <xdr:colOff>203526</xdr:colOff>
      <xdr:row>13</xdr:row>
      <xdr:rowOff>32564</xdr:rowOff>
    </xdr:to>
    <xdr:sp macro="" textlink="">
      <xdr:nvSpPr>
        <xdr:cNvPr id="68" name="TextBox 67">
          <a:extLst>
            <a:ext uri="{FF2B5EF4-FFF2-40B4-BE49-F238E27FC236}">
              <a16:creationId xmlns:a16="http://schemas.microsoft.com/office/drawing/2014/main" id="{FE5EFB7B-B24F-B848-7C20-61494DF500E7}"/>
            </a:ext>
          </a:extLst>
        </xdr:cNvPr>
        <xdr:cNvSpPr txBox="1"/>
      </xdr:nvSpPr>
      <xdr:spPr>
        <a:xfrm>
          <a:off x="8548077" y="2246923"/>
          <a:ext cx="700128" cy="219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tx1"/>
              </a:solidFill>
            </a:rPr>
            <a:t>Sales</a:t>
          </a:r>
        </a:p>
      </xdr:txBody>
    </xdr:sp>
    <xdr:clientData/>
  </xdr:twoCellAnchor>
  <xdr:twoCellAnchor>
    <xdr:from>
      <xdr:col>10</xdr:col>
      <xdr:colOff>757115</xdr:colOff>
      <xdr:row>12</xdr:row>
      <xdr:rowOff>1</xdr:rowOff>
    </xdr:from>
    <xdr:to>
      <xdr:col>11</xdr:col>
      <xdr:colOff>496603</xdr:colOff>
      <xdr:row>13</xdr:row>
      <xdr:rowOff>130257</xdr:rowOff>
    </xdr:to>
    <xdr:sp macro="" textlink="">
      <xdr:nvSpPr>
        <xdr:cNvPr id="69" name="TextBox 68">
          <a:extLst>
            <a:ext uri="{FF2B5EF4-FFF2-40B4-BE49-F238E27FC236}">
              <a16:creationId xmlns:a16="http://schemas.microsoft.com/office/drawing/2014/main" id="{F54C1586-13BD-2A4A-7371-4CCF333366E9}"/>
            </a:ext>
          </a:extLst>
        </xdr:cNvPr>
        <xdr:cNvSpPr txBox="1"/>
      </xdr:nvSpPr>
      <xdr:spPr>
        <a:xfrm>
          <a:off x="8979551" y="2246924"/>
          <a:ext cx="561731"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tx1"/>
              </a:solidFill>
            </a:rPr>
            <a:t>by</a:t>
          </a:r>
        </a:p>
      </xdr:txBody>
    </xdr:sp>
    <xdr:clientData/>
  </xdr:twoCellAnchor>
  <xdr:twoCellAnchor>
    <xdr:from>
      <xdr:col>11</xdr:col>
      <xdr:colOff>146539</xdr:colOff>
      <xdr:row>12</xdr:row>
      <xdr:rowOff>0</xdr:rowOff>
    </xdr:from>
    <xdr:to>
      <xdr:col>12</xdr:col>
      <xdr:colOff>105832</xdr:colOff>
      <xdr:row>13</xdr:row>
      <xdr:rowOff>113973</xdr:rowOff>
    </xdr:to>
    <xdr:sp macro="" textlink="">
      <xdr:nvSpPr>
        <xdr:cNvPr id="70" name="TextBox 69">
          <a:extLst>
            <a:ext uri="{FF2B5EF4-FFF2-40B4-BE49-F238E27FC236}">
              <a16:creationId xmlns:a16="http://schemas.microsoft.com/office/drawing/2014/main" id="{6E3132F5-3A44-5239-DFC6-6A9309992DE5}"/>
            </a:ext>
          </a:extLst>
        </xdr:cNvPr>
        <xdr:cNvSpPr txBox="1"/>
      </xdr:nvSpPr>
      <xdr:spPr>
        <a:xfrm>
          <a:off x="9191218" y="2246923"/>
          <a:ext cx="781537" cy="301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tx1"/>
              </a:solidFill>
            </a:rPr>
            <a:t>State</a:t>
          </a:r>
        </a:p>
      </xdr:txBody>
    </xdr:sp>
    <xdr:clientData/>
  </xdr:twoCellAnchor>
  <xdr:twoCellAnchor>
    <xdr:from>
      <xdr:col>11</xdr:col>
      <xdr:colOff>569872</xdr:colOff>
      <xdr:row>12</xdr:row>
      <xdr:rowOff>8141</xdr:rowOff>
    </xdr:from>
    <xdr:to>
      <xdr:col>12</xdr:col>
      <xdr:colOff>130255</xdr:colOff>
      <xdr:row>13</xdr:row>
      <xdr:rowOff>65128</xdr:rowOff>
    </xdr:to>
    <xdr:sp macro="" textlink="">
      <xdr:nvSpPr>
        <xdr:cNvPr id="71" name="TextBox 70">
          <a:extLst>
            <a:ext uri="{FF2B5EF4-FFF2-40B4-BE49-F238E27FC236}">
              <a16:creationId xmlns:a16="http://schemas.microsoft.com/office/drawing/2014/main" id="{DCBF471C-4E5E-5928-88D9-A1F8B5751853}"/>
            </a:ext>
          </a:extLst>
        </xdr:cNvPr>
        <xdr:cNvSpPr txBox="1"/>
      </xdr:nvSpPr>
      <xdr:spPr>
        <a:xfrm>
          <a:off x="9614551" y="2255064"/>
          <a:ext cx="382627" cy="244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tx1"/>
              </a:solidFill>
            </a:rPr>
            <a:t>%</a:t>
          </a:r>
        </a:p>
      </xdr:txBody>
    </xdr:sp>
    <xdr:clientData/>
  </xdr:twoCellAnchor>
  <xdr:twoCellAnchor>
    <xdr:from>
      <xdr:col>1</xdr:col>
      <xdr:colOff>637244</xdr:colOff>
      <xdr:row>21</xdr:row>
      <xdr:rowOff>80778</xdr:rowOff>
    </xdr:from>
    <xdr:to>
      <xdr:col>5</xdr:col>
      <xdr:colOff>130141</xdr:colOff>
      <xdr:row>29</xdr:row>
      <xdr:rowOff>112192</xdr:rowOff>
    </xdr:to>
    <xdr:graphicFrame macro="">
      <xdr:nvGraphicFramePr>
        <xdr:cNvPr id="72" name="Chart 71">
          <a:extLst>
            <a:ext uri="{FF2B5EF4-FFF2-40B4-BE49-F238E27FC236}">
              <a16:creationId xmlns:a16="http://schemas.microsoft.com/office/drawing/2014/main" id="{7840F26F-8BF6-8644-BEF1-103B135A7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738533</xdr:colOff>
      <xdr:row>21</xdr:row>
      <xdr:rowOff>69022</xdr:rowOff>
    </xdr:from>
    <xdr:to>
      <xdr:col>2</xdr:col>
      <xdr:colOff>779946</xdr:colOff>
      <xdr:row>22</xdr:row>
      <xdr:rowOff>172554</xdr:rowOff>
    </xdr:to>
    <xdr:sp macro="" textlink="">
      <xdr:nvSpPr>
        <xdr:cNvPr id="73" name="TextBox 72">
          <a:extLst>
            <a:ext uri="{FF2B5EF4-FFF2-40B4-BE49-F238E27FC236}">
              <a16:creationId xmlns:a16="http://schemas.microsoft.com/office/drawing/2014/main" id="{28AC2741-5474-56DF-7B1B-1957B69A8C13}"/>
            </a:ext>
          </a:extLst>
        </xdr:cNvPr>
        <xdr:cNvSpPr txBox="1"/>
      </xdr:nvSpPr>
      <xdr:spPr>
        <a:xfrm>
          <a:off x="1566794" y="4127500"/>
          <a:ext cx="869674" cy="296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tx1"/>
              </a:solidFill>
            </a:rPr>
            <a:t>Sales</a:t>
          </a:r>
        </a:p>
      </xdr:txBody>
    </xdr:sp>
    <xdr:clientData/>
  </xdr:twoCellAnchor>
  <xdr:oneCellAnchor>
    <xdr:from>
      <xdr:col>3</xdr:col>
      <xdr:colOff>227771</xdr:colOff>
      <xdr:row>21</xdr:row>
      <xdr:rowOff>138044</xdr:rowOff>
    </xdr:from>
    <xdr:ext cx="184731" cy="264431"/>
    <xdr:sp macro="" textlink="">
      <xdr:nvSpPr>
        <xdr:cNvPr id="74" name="TextBox 73">
          <a:extLst>
            <a:ext uri="{FF2B5EF4-FFF2-40B4-BE49-F238E27FC236}">
              <a16:creationId xmlns:a16="http://schemas.microsoft.com/office/drawing/2014/main" id="{8DBA23B8-A980-5EDD-CFAA-9382D74BC4D3}"/>
            </a:ext>
          </a:extLst>
        </xdr:cNvPr>
        <xdr:cNvSpPr txBox="1"/>
      </xdr:nvSpPr>
      <xdr:spPr>
        <a:xfrm>
          <a:off x="2712554" y="4196522"/>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2</xdr:col>
      <xdr:colOff>345108</xdr:colOff>
      <xdr:row>21</xdr:row>
      <xdr:rowOff>62120</xdr:rowOff>
    </xdr:from>
    <xdr:to>
      <xdr:col>3</xdr:col>
      <xdr:colOff>62120</xdr:colOff>
      <xdr:row>22</xdr:row>
      <xdr:rowOff>124239</xdr:rowOff>
    </xdr:to>
    <xdr:sp macro="" textlink="">
      <xdr:nvSpPr>
        <xdr:cNvPr id="75" name="TextBox 74">
          <a:extLst>
            <a:ext uri="{FF2B5EF4-FFF2-40B4-BE49-F238E27FC236}">
              <a16:creationId xmlns:a16="http://schemas.microsoft.com/office/drawing/2014/main" id="{E51D80D2-5190-73D1-8254-093DF99F658C}"/>
            </a:ext>
          </a:extLst>
        </xdr:cNvPr>
        <xdr:cNvSpPr txBox="1"/>
      </xdr:nvSpPr>
      <xdr:spPr>
        <a:xfrm>
          <a:off x="2001630" y="4120598"/>
          <a:ext cx="545273" cy="255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tx1"/>
              </a:solidFill>
            </a:rPr>
            <a:t>by</a:t>
          </a:r>
        </a:p>
      </xdr:txBody>
    </xdr:sp>
    <xdr:clientData/>
  </xdr:twoCellAnchor>
  <xdr:twoCellAnchor>
    <xdr:from>
      <xdr:col>2</xdr:col>
      <xdr:colOff>559076</xdr:colOff>
      <xdr:row>21</xdr:row>
      <xdr:rowOff>75924</xdr:rowOff>
    </xdr:from>
    <xdr:to>
      <xdr:col>3</xdr:col>
      <xdr:colOff>773044</xdr:colOff>
      <xdr:row>22</xdr:row>
      <xdr:rowOff>179457</xdr:rowOff>
    </xdr:to>
    <xdr:sp macro="" textlink="">
      <xdr:nvSpPr>
        <xdr:cNvPr id="76" name="TextBox 75">
          <a:extLst>
            <a:ext uri="{FF2B5EF4-FFF2-40B4-BE49-F238E27FC236}">
              <a16:creationId xmlns:a16="http://schemas.microsoft.com/office/drawing/2014/main" id="{6B6C470C-FDD4-ADBA-2E54-708AF30F8F50}"/>
            </a:ext>
          </a:extLst>
        </xdr:cNvPr>
        <xdr:cNvSpPr txBox="1"/>
      </xdr:nvSpPr>
      <xdr:spPr>
        <a:xfrm>
          <a:off x="2215598" y="4134402"/>
          <a:ext cx="1042229" cy="296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tx1"/>
              </a:solidFill>
            </a:rPr>
            <a:t>Payment</a:t>
          </a:r>
        </a:p>
      </xdr:txBody>
    </xdr:sp>
    <xdr:clientData/>
  </xdr:twoCellAnchor>
  <xdr:twoCellAnchor>
    <xdr:from>
      <xdr:col>3</xdr:col>
      <xdr:colOff>414131</xdr:colOff>
      <xdr:row>21</xdr:row>
      <xdr:rowOff>69022</xdr:rowOff>
    </xdr:from>
    <xdr:to>
      <xdr:col>4</xdr:col>
      <xdr:colOff>531469</xdr:colOff>
      <xdr:row>22</xdr:row>
      <xdr:rowOff>165652</xdr:rowOff>
    </xdr:to>
    <xdr:sp macro="" textlink="">
      <xdr:nvSpPr>
        <xdr:cNvPr id="77" name="TextBox 76">
          <a:extLst>
            <a:ext uri="{FF2B5EF4-FFF2-40B4-BE49-F238E27FC236}">
              <a16:creationId xmlns:a16="http://schemas.microsoft.com/office/drawing/2014/main" id="{97424360-5C40-9093-858A-668A6317E092}"/>
            </a:ext>
          </a:extLst>
        </xdr:cNvPr>
        <xdr:cNvSpPr txBox="1"/>
      </xdr:nvSpPr>
      <xdr:spPr>
        <a:xfrm>
          <a:off x="2898914" y="4127500"/>
          <a:ext cx="945598" cy="2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tx1"/>
              </a:solidFill>
            </a:rPr>
            <a:t>Method</a:t>
          </a:r>
        </a:p>
      </xdr:txBody>
    </xdr:sp>
    <xdr:clientData/>
  </xdr:twoCellAnchor>
  <xdr:twoCellAnchor>
    <xdr:from>
      <xdr:col>5</xdr:col>
      <xdr:colOff>601068</xdr:colOff>
      <xdr:row>22</xdr:row>
      <xdr:rowOff>58169</xdr:rowOff>
    </xdr:from>
    <xdr:to>
      <xdr:col>9</xdr:col>
      <xdr:colOff>242366</xdr:colOff>
      <xdr:row>29</xdr:row>
      <xdr:rowOff>184198</xdr:rowOff>
    </xdr:to>
    <xdr:graphicFrame macro="">
      <xdr:nvGraphicFramePr>
        <xdr:cNvPr id="78" name="Chart 77">
          <a:extLst>
            <a:ext uri="{FF2B5EF4-FFF2-40B4-BE49-F238E27FC236}">
              <a16:creationId xmlns:a16="http://schemas.microsoft.com/office/drawing/2014/main" id="{81C6E442-D11C-FF4E-9A90-1C5D46C0E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300181</xdr:colOff>
      <xdr:row>21</xdr:row>
      <xdr:rowOff>61576</xdr:rowOff>
    </xdr:from>
    <xdr:to>
      <xdr:col>7</xdr:col>
      <xdr:colOff>76970</xdr:colOff>
      <xdr:row>22</xdr:row>
      <xdr:rowOff>184728</xdr:rowOff>
    </xdr:to>
    <xdr:sp macro="" textlink="">
      <xdr:nvSpPr>
        <xdr:cNvPr id="15" name="TextBox 14">
          <a:extLst>
            <a:ext uri="{FF2B5EF4-FFF2-40B4-BE49-F238E27FC236}">
              <a16:creationId xmlns:a16="http://schemas.microsoft.com/office/drawing/2014/main" id="{49FABB62-51F5-67DF-4D08-7E53865E671C}"/>
            </a:ext>
          </a:extLst>
        </xdr:cNvPr>
        <xdr:cNvSpPr txBox="1"/>
      </xdr:nvSpPr>
      <xdr:spPr>
        <a:xfrm>
          <a:off x="5241636" y="4102485"/>
          <a:ext cx="600364" cy="31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tx1"/>
              </a:solidFill>
            </a:rPr>
            <a:t>Sales</a:t>
          </a:r>
        </a:p>
      </xdr:txBody>
    </xdr:sp>
    <xdr:clientData/>
  </xdr:twoCellAnchor>
  <xdr:twoCellAnchor>
    <xdr:from>
      <xdr:col>6</xdr:col>
      <xdr:colOff>738909</xdr:colOff>
      <xdr:row>21</xdr:row>
      <xdr:rowOff>61575</xdr:rowOff>
    </xdr:from>
    <xdr:to>
      <xdr:col>7</xdr:col>
      <xdr:colOff>438728</xdr:colOff>
      <xdr:row>22</xdr:row>
      <xdr:rowOff>161636</xdr:rowOff>
    </xdr:to>
    <xdr:sp macro="" textlink="">
      <xdr:nvSpPr>
        <xdr:cNvPr id="18" name="TextBox 17">
          <a:extLst>
            <a:ext uri="{FF2B5EF4-FFF2-40B4-BE49-F238E27FC236}">
              <a16:creationId xmlns:a16="http://schemas.microsoft.com/office/drawing/2014/main" id="{CAAA023B-E803-CDB2-5B91-59FEA9C494CD}"/>
            </a:ext>
          </a:extLst>
        </xdr:cNvPr>
        <xdr:cNvSpPr txBox="1"/>
      </xdr:nvSpPr>
      <xdr:spPr>
        <a:xfrm>
          <a:off x="5680364" y="4102484"/>
          <a:ext cx="523394" cy="29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tx1"/>
              </a:solidFill>
            </a:rPr>
            <a:t>by</a:t>
          </a:r>
        </a:p>
      </xdr:txBody>
    </xdr:sp>
    <xdr:clientData/>
  </xdr:twoCellAnchor>
  <xdr:twoCellAnchor>
    <xdr:from>
      <xdr:col>7</xdr:col>
      <xdr:colOff>138546</xdr:colOff>
      <xdr:row>21</xdr:row>
      <xdr:rowOff>61576</xdr:rowOff>
    </xdr:from>
    <xdr:to>
      <xdr:col>8</xdr:col>
      <xdr:colOff>84667</xdr:colOff>
      <xdr:row>22</xdr:row>
      <xdr:rowOff>146243</xdr:rowOff>
    </xdr:to>
    <xdr:sp macro="" textlink="">
      <xdr:nvSpPr>
        <xdr:cNvPr id="27" name="TextBox 26">
          <a:extLst>
            <a:ext uri="{FF2B5EF4-FFF2-40B4-BE49-F238E27FC236}">
              <a16:creationId xmlns:a16="http://schemas.microsoft.com/office/drawing/2014/main" id="{028675BD-186D-00FA-A9BB-066A8E0A0C27}"/>
            </a:ext>
          </a:extLst>
        </xdr:cNvPr>
        <xdr:cNvSpPr txBox="1"/>
      </xdr:nvSpPr>
      <xdr:spPr>
        <a:xfrm>
          <a:off x="5903576" y="4102485"/>
          <a:ext cx="769697" cy="277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tx1"/>
              </a:solidFill>
            </a:rPr>
            <a:t>Product</a:t>
          </a:r>
        </a:p>
      </xdr:txBody>
    </xdr:sp>
    <xdr:clientData/>
  </xdr:twoCellAnchor>
  <xdr:twoCellAnchor editAs="oneCell">
    <xdr:from>
      <xdr:col>9</xdr:col>
      <xdr:colOff>491066</xdr:colOff>
      <xdr:row>22</xdr:row>
      <xdr:rowOff>123152</xdr:rowOff>
    </xdr:from>
    <xdr:to>
      <xdr:col>13</xdr:col>
      <xdr:colOff>200121</xdr:colOff>
      <xdr:row>29</xdr:row>
      <xdr:rowOff>30788</xdr:rowOff>
    </xdr:to>
    <xdr:pic>
      <xdr:nvPicPr>
        <xdr:cNvPr id="37" name="Picture 36">
          <a:extLst>
            <a:ext uri="{FF2B5EF4-FFF2-40B4-BE49-F238E27FC236}">
              <a16:creationId xmlns:a16="http://schemas.microsoft.com/office/drawing/2014/main" id="{02CFC33F-1CBE-90C5-3BB5-2266181F9A65}"/>
            </a:ext>
          </a:extLst>
        </xdr:cNvPr>
        <xdr:cNvPicPr>
          <a:picLocks noChangeAspect="1"/>
        </xdr:cNvPicPr>
      </xdr:nvPicPr>
      <xdr:blipFill rotWithShape="1">
        <a:blip xmlns:r="http://schemas.openxmlformats.org/officeDocument/2006/relationships" r:embed="rId15">
          <a:duotone>
            <a:prstClr val="black"/>
            <a:schemeClr val="accent2">
              <a:tint val="45000"/>
              <a:satMod val="400000"/>
            </a:schemeClr>
          </a:duotone>
        </a:blip>
        <a:srcRect/>
        <a:stretch>
          <a:fillRect/>
        </a:stretch>
      </xdr:blipFill>
      <xdr:spPr>
        <a:xfrm>
          <a:off x="7903248" y="4356485"/>
          <a:ext cx="3003358" cy="1254606"/>
        </a:xfrm>
        <a:prstGeom prst="rect">
          <a:avLst/>
        </a:prstGeom>
        <a:ln>
          <a:noFill/>
        </a:ln>
      </xdr:spPr>
    </xdr:pic>
    <xdr:clientData/>
  </xdr:twoCellAnchor>
  <xdr:twoCellAnchor>
    <xdr:from>
      <xdr:col>10</xdr:col>
      <xdr:colOff>546485</xdr:colOff>
      <xdr:row>20</xdr:row>
      <xdr:rowOff>177030</xdr:rowOff>
    </xdr:from>
    <xdr:to>
      <xdr:col>11</xdr:col>
      <xdr:colOff>369456</xdr:colOff>
      <xdr:row>22</xdr:row>
      <xdr:rowOff>92365</xdr:rowOff>
    </xdr:to>
    <xdr:sp macro="" textlink="">
      <xdr:nvSpPr>
        <xdr:cNvPr id="39" name="TextBox 38">
          <a:extLst>
            <a:ext uri="{FF2B5EF4-FFF2-40B4-BE49-F238E27FC236}">
              <a16:creationId xmlns:a16="http://schemas.microsoft.com/office/drawing/2014/main" id="{045D91BB-EEED-55A6-5D86-3A41F76036C6}"/>
            </a:ext>
          </a:extLst>
        </xdr:cNvPr>
        <xdr:cNvSpPr txBox="1"/>
      </xdr:nvSpPr>
      <xdr:spPr>
        <a:xfrm>
          <a:off x="8782243" y="4025515"/>
          <a:ext cx="646546" cy="300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Order</a:t>
          </a:r>
        </a:p>
      </xdr:txBody>
    </xdr:sp>
    <xdr:clientData/>
  </xdr:twoCellAnchor>
  <xdr:twoCellAnchor>
    <xdr:from>
      <xdr:col>11</xdr:col>
      <xdr:colOff>200122</xdr:colOff>
      <xdr:row>20</xdr:row>
      <xdr:rowOff>184728</xdr:rowOff>
    </xdr:from>
    <xdr:to>
      <xdr:col>12</xdr:col>
      <xdr:colOff>431030</xdr:colOff>
      <xdr:row>22</xdr:row>
      <xdr:rowOff>92364</xdr:rowOff>
    </xdr:to>
    <xdr:sp macro="" textlink="">
      <xdr:nvSpPr>
        <xdr:cNvPr id="40" name="TextBox 39">
          <a:extLst>
            <a:ext uri="{FF2B5EF4-FFF2-40B4-BE49-F238E27FC236}">
              <a16:creationId xmlns:a16="http://schemas.microsoft.com/office/drawing/2014/main" id="{69FCDE8C-59AB-1F19-BF68-BD8B0B25D4BA}"/>
            </a:ext>
          </a:extLst>
        </xdr:cNvPr>
        <xdr:cNvSpPr txBox="1"/>
      </xdr:nvSpPr>
      <xdr:spPr>
        <a:xfrm>
          <a:off x="9259455" y="4033213"/>
          <a:ext cx="1054484" cy="292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tx1"/>
              </a:solidFill>
            </a:rPr>
            <a:t>Details</a:t>
          </a:r>
        </a:p>
      </xdr:txBody>
    </xdr:sp>
    <xdr:clientData/>
  </xdr:twoCellAnchor>
  <xdr:twoCellAnchor editAs="oneCell">
    <xdr:from>
      <xdr:col>0</xdr:col>
      <xdr:colOff>148738</xdr:colOff>
      <xdr:row>22</xdr:row>
      <xdr:rowOff>35524</xdr:rowOff>
    </xdr:from>
    <xdr:to>
      <xdr:col>1</xdr:col>
      <xdr:colOff>279399</xdr:colOff>
      <xdr:row>29</xdr:row>
      <xdr:rowOff>137297</xdr:rowOff>
    </xdr:to>
    <mc:AlternateContent xmlns:mc="http://schemas.openxmlformats.org/markup-compatibility/2006" xmlns:a14="http://schemas.microsoft.com/office/drawing/2010/main">
      <mc:Choice Requires="a14">
        <xdr:graphicFrame macro="">
          <xdr:nvGraphicFramePr>
            <xdr:cNvPr id="59" name="Seller">
              <a:extLst>
                <a:ext uri="{FF2B5EF4-FFF2-40B4-BE49-F238E27FC236}">
                  <a16:creationId xmlns:a16="http://schemas.microsoft.com/office/drawing/2014/main" id="{2F9381BA-118D-134E-B211-702D62CE2F30}"/>
                </a:ext>
              </a:extLst>
            </xdr:cNvP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mlns="">
        <xdr:sp macro="" textlink="">
          <xdr:nvSpPr>
            <xdr:cNvPr id="0" name=""/>
            <xdr:cNvSpPr>
              <a:spLocks noTextEdit="1"/>
            </xdr:cNvSpPr>
          </xdr:nvSpPr>
          <xdr:spPr>
            <a:xfrm>
              <a:off x="148738" y="4238887"/>
              <a:ext cx="951103" cy="14392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125623</xdr:colOff>
      <xdr:row>14</xdr:row>
      <xdr:rowOff>95250</xdr:rowOff>
    </xdr:from>
    <xdr:to>
      <xdr:col>1</xdr:col>
      <xdr:colOff>292100</xdr:colOff>
      <xdr:row>22</xdr:row>
      <xdr:rowOff>2443</xdr:rowOff>
    </xdr:to>
    <mc:AlternateContent xmlns:mc="http://schemas.openxmlformats.org/markup-compatibility/2006" xmlns:a14="http://schemas.microsoft.com/office/drawing/2010/main">
      <mc:Choice Requires="a14">
        <xdr:graphicFrame macro="">
          <xdr:nvGraphicFramePr>
            <xdr:cNvPr id="62" name="Payment_Method">
              <a:extLst>
                <a:ext uri="{FF2B5EF4-FFF2-40B4-BE49-F238E27FC236}">
                  <a16:creationId xmlns:a16="http://schemas.microsoft.com/office/drawing/2014/main" id="{3E278609-F032-674B-ABBE-1B10ECED07B7}"/>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25623" y="2770117"/>
              <a:ext cx="986919" cy="14356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128472</xdr:colOff>
      <xdr:row>6</xdr:row>
      <xdr:rowOff>119209</xdr:rowOff>
    </xdr:from>
    <xdr:to>
      <xdr:col>1</xdr:col>
      <xdr:colOff>280490</xdr:colOff>
      <xdr:row>14</xdr:row>
      <xdr:rowOff>43951</xdr:rowOff>
    </xdr:to>
    <mc:AlternateContent xmlns:mc="http://schemas.openxmlformats.org/markup-compatibility/2006" xmlns:a14="http://schemas.microsoft.com/office/drawing/2010/main">
      <mc:Choice Requires="a14">
        <xdr:graphicFrame macro="">
          <xdr:nvGraphicFramePr>
            <xdr:cNvPr id="63" name="Month">
              <a:extLst>
                <a:ext uri="{FF2B5EF4-FFF2-40B4-BE49-F238E27FC236}">
                  <a16:creationId xmlns:a16="http://schemas.microsoft.com/office/drawing/2014/main" id="{C8BD401A-E7C9-D148-90D7-908DD83D81A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8472" y="1265581"/>
              <a:ext cx="972460" cy="14532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0.43</cdr:x>
      <cdr:y>0.06685</cdr:y>
    </cdr:from>
    <cdr:to>
      <cdr:x>0.73857</cdr:x>
      <cdr:y>0.66852</cdr:y>
    </cdr:to>
    <cdr:sp macro="" textlink="">
      <cdr:nvSpPr>
        <cdr:cNvPr id="2" name="TextBox 1">
          <a:extLst xmlns:a="http://schemas.openxmlformats.org/drawingml/2006/main">
            <a:ext uri="{FF2B5EF4-FFF2-40B4-BE49-F238E27FC236}">
              <a16:creationId xmlns:a16="http://schemas.microsoft.com/office/drawing/2014/main" id="{FE5E521F-AE42-151B-E0C2-B2D88B47EC41}"/>
            </a:ext>
          </a:extLst>
        </cdr:cNvPr>
        <cdr:cNvSpPr txBox="1"/>
      </cdr:nvSpPr>
      <cdr:spPr>
        <a:xfrm xmlns:a="http://schemas.openxmlformats.org/drawingml/2006/main">
          <a:off x="1274234" y="1016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0.40429</cdr:x>
      <cdr:y>0.05571</cdr:y>
    </cdr:from>
    <cdr:to>
      <cdr:x>0.71286</cdr:x>
      <cdr:y>0.2117</cdr:y>
    </cdr:to>
    <cdr:sp macro="" textlink="">
      <cdr:nvSpPr>
        <cdr:cNvPr id="3" name="TextBox 2">
          <a:extLst xmlns:a="http://schemas.openxmlformats.org/drawingml/2006/main">
            <a:ext uri="{FF2B5EF4-FFF2-40B4-BE49-F238E27FC236}">
              <a16:creationId xmlns:a16="http://schemas.microsoft.com/office/drawing/2014/main" id="{2A67C9B8-3648-FDB8-5905-5C8A62990F9C}"/>
            </a:ext>
          </a:extLst>
        </cdr:cNvPr>
        <cdr:cNvSpPr txBox="1"/>
      </cdr:nvSpPr>
      <cdr:spPr>
        <a:xfrm xmlns:a="http://schemas.openxmlformats.org/drawingml/2006/main">
          <a:off x="1198034" y="84666"/>
          <a:ext cx="914400" cy="23706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0.43</cdr:x>
      <cdr:y>0.05571</cdr:y>
    </cdr:from>
    <cdr:to>
      <cdr:x>0.73857</cdr:x>
      <cdr:y>0.65738</cdr:y>
    </cdr:to>
    <cdr:sp macro="" textlink="">
      <cdr:nvSpPr>
        <cdr:cNvPr id="4" name="TextBox 3">
          <a:extLst xmlns:a="http://schemas.openxmlformats.org/drawingml/2006/main">
            <a:ext uri="{FF2B5EF4-FFF2-40B4-BE49-F238E27FC236}">
              <a16:creationId xmlns:a16="http://schemas.microsoft.com/office/drawing/2014/main" id="{AFAAF4B6-C578-1832-178D-3B505A1A5B4E}"/>
            </a:ext>
          </a:extLst>
        </cdr:cNvPr>
        <cdr:cNvSpPr txBox="1"/>
      </cdr:nvSpPr>
      <cdr:spPr>
        <a:xfrm xmlns:a="http://schemas.openxmlformats.org/drawingml/2006/main">
          <a:off x="1274234" y="84666"/>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500" b="1" kern="1200"/>
        </a:p>
      </cdr:txBody>
    </cdr:sp>
  </cdr:relSizeAnchor>
  <cdr:relSizeAnchor xmlns:cdr="http://schemas.openxmlformats.org/drawingml/2006/chartDrawing">
    <cdr:from>
      <cdr:x>0.36429</cdr:x>
      <cdr:y>0.01114</cdr:y>
    </cdr:from>
    <cdr:to>
      <cdr:x>0.51</cdr:x>
      <cdr:y>0.19499</cdr:y>
    </cdr:to>
    <cdr:sp macro="" textlink="">
      <cdr:nvSpPr>
        <cdr:cNvPr id="5" name="TextBox 4">
          <a:extLst xmlns:a="http://schemas.openxmlformats.org/drawingml/2006/main">
            <a:ext uri="{FF2B5EF4-FFF2-40B4-BE49-F238E27FC236}">
              <a16:creationId xmlns:a16="http://schemas.microsoft.com/office/drawing/2014/main" id="{4E59F3CF-71CC-5B0C-A150-71FB3972023E}"/>
            </a:ext>
          </a:extLst>
        </cdr:cNvPr>
        <cdr:cNvSpPr txBox="1"/>
      </cdr:nvSpPr>
      <cdr:spPr>
        <a:xfrm xmlns:a="http://schemas.openxmlformats.org/drawingml/2006/main">
          <a:off x="1079501" y="16933"/>
          <a:ext cx="431800" cy="279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1500" b="1" kern="1200"/>
            <a:t>By</a:t>
          </a:r>
        </a:p>
      </cdr:txBody>
    </cdr:sp>
  </cdr:relSizeAnchor>
  <cdr:relSizeAnchor xmlns:cdr="http://schemas.openxmlformats.org/drawingml/2006/chartDrawing">
    <cdr:from>
      <cdr:x>0.43857</cdr:x>
      <cdr:y>0.01114</cdr:y>
    </cdr:from>
    <cdr:to>
      <cdr:x>0.70143</cdr:x>
      <cdr:y>0.22284</cdr:y>
    </cdr:to>
    <cdr:sp macro="" textlink="">
      <cdr:nvSpPr>
        <cdr:cNvPr id="6" name="TextBox 5">
          <a:extLst xmlns:a="http://schemas.openxmlformats.org/drawingml/2006/main">
            <a:ext uri="{FF2B5EF4-FFF2-40B4-BE49-F238E27FC236}">
              <a16:creationId xmlns:a16="http://schemas.microsoft.com/office/drawing/2014/main" id="{ED949F9F-9E7B-EBA4-7D16-101FBD82D36D}"/>
            </a:ext>
          </a:extLst>
        </cdr:cNvPr>
        <cdr:cNvSpPr txBox="1"/>
      </cdr:nvSpPr>
      <cdr:spPr>
        <a:xfrm xmlns:a="http://schemas.openxmlformats.org/drawingml/2006/main">
          <a:off x="1299635" y="16933"/>
          <a:ext cx="778932" cy="32173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1400" b="1" kern="1200"/>
            <a:t>Month</a:t>
          </a:r>
        </a:p>
      </cdr:txBody>
    </cdr:sp>
  </cdr:relSizeAnchor>
</c:userShapes>
</file>

<file path=xl/drawings/drawing3.xml><?xml version="1.0" encoding="utf-8"?>
<c:userShapes xmlns:c="http://schemas.openxmlformats.org/drawingml/2006/chart">
  <cdr:relSizeAnchor xmlns:cdr="http://schemas.openxmlformats.org/drawingml/2006/chartDrawing">
    <cdr:from>
      <cdr:x>0.21159</cdr:x>
      <cdr:y>0.04103</cdr:y>
    </cdr:from>
    <cdr:to>
      <cdr:x>0.42899</cdr:x>
      <cdr:y>0.18462</cdr:y>
    </cdr:to>
    <cdr:sp macro="" textlink="">
      <cdr:nvSpPr>
        <cdr:cNvPr id="2" name="TextBox 1">
          <a:extLst xmlns:a="http://schemas.openxmlformats.org/drawingml/2006/main">
            <a:ext uri="{FF2B5EF4-FFF2-40B4-BE49-F238E27FC236}">
              <a16:creationId xmlns:a16="http://schemas.microsoft.com/office/drawing/2014/main" id="{D7A30D93-007F-BDBC-0562-EF9BD8D79FDC}"/>
            </a:ext>
          </a:extLst>
        </cdr:cNvPr>
        <cdr:cNvSpPr txBox="1"/>
      </cdr:nvSpPr>
      <cdr:spPr>
        <a:xfrm xmlns:a="http://schemas.openxmlformats.org/drawingml/2006/main">
          <a:off x="618067" y="67733"/>
          <a:ext cx="635000" cy="23706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500" b="1" kern="1200"/>
            <a:t>Sales</a:t>
          </a:r>
        </a:p>
      </cdr:txBody>
    </cdr:sp>
  </cdr:relSizeAnchor>
</c:userShapes>
</file>

<file path=xl/drawings/drawing4.xml><?xml version="1.0" encoding="utf-8"?>
<c:userShapes xmlns:c="http://schemas.openxmlformats.org/drawingml/2006/chart">
  <cdr:relSizeAnchor xmlns:cdr="http://schemas.openxmlformats.org/drawingml/2006/chartDrawing">
    <cdr:from>
      <cdr:x>0.1197</cdr:x>
      <cdr:y>0.11521</cdr:y>
    </cdr:from>
    <cdr:to>
      <cdr:x>0.3217</cdr:x>
      <cdr:y>0.24424</cdr:y>
    </cdr:to>
    <cdr:sp macro="" textlink="">
      <cdr:nvSpPr>
        <cdr:cNvPr id="7" name="TextBox 6">
          <a:extLst xmlns:a="http://schemas.openxmlformats.org/drawingml/2006/main">
            <a:ext uri="{FF2B5EF4-FFF2-40B4-BE49-F238E27FC236}">
              <a16:creationId xmlns:a16="http://schemas.microsoft.com/office/drawing/2014/main" id="{14B2D63C-BBBF-69EF-E830-A9A09CD5A01C}"/>
            </a:ext>
          </a:extLst>
        </cdr:cNvPr>
        <cdr:cNvSpPr txBox="1"/>
      </cdr:nvSpPr>
      <cdr:spPr>
        <a:xfrm xmlns:a="http://schemas.openxmlformats.org/drawingml/2006/main">
          <a:off x="390768" y="203525"/>
          <a:ext cx="659423" cy="22794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asri Jadala" refreshedDate="46283.555835995372" createdVersion="8" refreshedVersion="8" minRefreshableVersion="3" recordCount="500" xr:uid="{C2EFD4CB-17ED-B849-BA29-73FB60DE3114}">
  <cacheSource type="worksheet">
    <worksheetSource name="Table2"/>
  </cacheSource>
  <cacheFields count="13">
    <cacheField name="Order_ID" numFmtId="0">
      <sharedItems count="500">
        <s v="ORD10001"/>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49"/>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6"/>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haredItems>
    </cacheField>
    <cacheField name="Date" numFmtId="0">
      <sharedItems/>
    </cacheField>
    <cacheField name="Customer_Name" numFmtId="0">
      <sharedItems count="20">
        <s v="Rohit"/>
        <s v="Kavya"/>
        <s v="Neha"/>
        <s v="Rahul"/>
        <s v="Akash"/>
        <s v="Anjali"/>
        <s v="Divya"/>
        <s v="Arjun"/>
        <s v="Ali"/>
        <s v="Vikas"/>
        <s v="Naveen"/>
        <s v="Priya"/>
        <s v="Pooja"/>
        <s v="Aman"/>
        <s v="Sanjay"/>
        <s v="Kiran"/>
        <s v="Vijay"/>
        <s v="Meena"/>
        <s v="Sneha"/>
        <s v="Ria"/>
      </sharedItems>
    </cacheField>
    <cacheField name="Product" numFmtId="0">
      <sharedItems count="21">
        <s v="Shampoo"/>
        <s v="Chair"/>
        <s v="iPhone 15"/>
        <s v="Shoes"/>
        <s v="Jeans"/>
        <s v="Business Book"/>
        <s v="Bedsheet"/>
        <s v="Python Book"/>
        <s v="Lamp"/>
        <s v="Mixer"/>
        <s v="Perfume"/>
        <s v="Watch"/>
        <s v="AirPods Pro"/>
        <s v="Cookbook"/>
        <s v="Laptop"/>
        <s v="Lipstick"/>
        <s v="MacBook Air"/>
        <s v="Novel"/>
        <s v="T-Shirt"/>
        <s v="Sony Headphones"/>
        <s v="Face Wash"/>
      </sharedItems>
    </cacheField>
    <cacheField name="Category" numFmtId="0">
      <sharedItems count="5">
        <s v="Beauty"/>
        <s v="Home"/>
        <s v="Electronics"/>
        <s v="Fashion"/>
        <s v="Books"/>
      </sharedItems>
    </cacheField>
    <cacheField name="State" numFmtId="0">
      <sharedItems count="6">
        <s v="Karnataka"/>
        <s v="Gujrat"/>
        <s v="Telangana"/>
        <s v="Maharashtra"/>
        <s v="Delhi"/>
        <s v="Tamil Nadu"/>
      </sharedItems>
    </cacheField>
    <cacheField name="Seller" numFmtId="0">
      <sharedItems count="4">
        <s v="BookWorld"/>
        <s v="TechStore"/>
        <s v="BeautyCare"/>
        <s v="HomeMart"/>
      </sharedItems>
    </cacheField>
    <cacheField name="Payment_Method" numFmtId="0">
      <sharedItems count="4">
        <s v="Cash"/>
        <s v="Net Banking"/>
        <s v="Card"/>
        <s v="UPI"/>
      </sharedItems>
    </cacheField>
    <cacheField name="Sales" numFmtId="0">
      <sharedItems containsSemiMixedTypes="0" containsString="0" containsNumber="1" containsInteger="1" minValue="307" maxValue="596816"/>
    </cacheField>
    <cacheField name="Quantity" numFmtId="0">
      <sharedItems containsSemiMixedTypes="0" containsString="0" containsNumber="1" containsInteger="1" minValue="1" maxValue="8"/>
    </cacheField>
    <cacheField name="Rating" numFmtId="0">
      <sharedItems containsSemiMixedTypes="0" containsString="0" containsNumber="1" minValue="3.2" maxValue="5"/>
    </cacheField>
    <cacheField name="Delivery" numFmtId="0">
      <sharedItems containsSemiMixedTypes="0" containsString="0" containsNumber="1" containsInteger="1" minValue="1" maxValue="8"/>
    </cacheField>
    <cacheField name="Month" numFmtId="0">
      <sharedItems count="12">
        <s v="May"/>
        <s v="Oct"/>
        <s v="Apr"/>
        <s v="Aug"/>
        <s v="Jul"/>
        <s v="Sep"/>
        <s v="Mar"/>
        <s v="Feb"/>
        <s v="Dec"/>
        <s v="Jun"/>
        <s v="Jan"/>
        <s v="Nov"/>
      </sharedItems>
    </cacheField>
  </cacheFields>
  <extLst>
    <ext xmlns:x14="http://schemas.microsoft.com/office/spreadsheetml/2009/9/main" uri="{725AE2AE-9491-48be-B2B4-4EB974FC3084}">
      <x14:pivotCacheDefinition pivotCacheId="16382369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21/05/2025"/>
    <x v="0"/>
    <x v="0"/>
    <x v="0"/>
    <x v="0"/>
    <x v="0"/>
    <x v="0"/>
    <n v="3028"/>
    <n v="4"/>
    <n v="4.3"/>
    <n v="1"/>
    <x v="0"/>
  </r>
  <r>
    <x v="1"/>
    <s v="15/10/2025"/>
    <x v="1"/>
    <x v="1"/>
    <x v="1"/>
    <x v="1"/>
    <x v="1"/>
    <x v="1"/>
    <n v="32636"/>
    <n v="4"/>
    <n v="4.3"/>
    <n v="1"/>
    <x v="1"/>
  </r>
  <r>
    <x v="2"/>
    <s v="21/04/2025"/>
    <x v="2"/>
    <x v="2"/>
    <x v="2"/>
    <x v="1"/>
    <x v="1"/>
    <x v="2"/>
    <n v="313782"/>
    <n v="6"/>
    <n v="4.7"/>
    <n v="5"/>
    <x v="2"/>
  </r>
  <r>
    <x v="3"/>
    <s v="10/10/2025"/>
    <x v="3"/>
    <x v="3"/>
    <x v="3"/>
    <x v="0"/>
    <x v="0"/>
    <x v="2"/>
    <n v="11375"/>
    <n v="5"/>
    <n v="3.3"/>
    <n v="4"/>
    <x v="1"/>
  </r>
  <r>
    <x v="4"/>
    <s v="21/08/2025"/>
    <x v="4"/>
    <x v="4"/>
    <x v="3"/>
    <x v="1"/>
    <x v="0"/>
    <x v="0"/>
    <n v="14496"/>
    <n v="6"/>
    <n v="3.7"/>
    <n v="2"/>
    <x v="3"/>
  </r>
  <r>
    <x v="5"/>
    <s v="14/07/2025"/>
    <x v="5"/>
    <x v="5"/>
    <x v="4"/>
    <x v="2"/>
    <x v="2"/>
    <x v="0"/>
    <n v="5745"/>
    <n v="5"/>
    <n v="4.7"/>
    <n v="6"/>
    <x v="4"/>
  </r>
  <r>
    <x v="6"/>
    <s v="19/04/2025"/>
    <x v="6"/>
    <x v="6"/>
    <x v="1"/>
    <x v="3"/>
    <x v="1"/>
    <x v="1"/>
    <n v="24696"/>
    <n v="8"/>
    <n v="3.6"/>
    <n v="5"/>
    <x v="2"/>
  </r>
  <r>
    <x v="7"/>
    <s v="18/09/2025"/>
    <x v="4"/>
    <x v="7"/>
    <x v="4"/>
    <x v="0"/>
    <x v="1"/>
    <x v="3"/>
    <n v="3536"/>
    <n v="8"/>
    <n v="3.5"/>
    <n v="7"/>
    <x v="5"/>
  </r>
  <r>
    <x v="8"/>
    <s v="28/09/2025"/>
    <x v="7"/>
    <x v="8"/>
    <x v="1"/>
    <x v="2"/>
    <x v="1"/>
    <x v="0"/>
    <n v="25855"/>
    <n v="5"/>
    <n v="4.5999999999999996"/>
    <n v="6"/>
    <x v="5"/>
  </r>
  <r>
    <x v="9"/>
    <s v="15/05/2025"/>
    <x v="8"/>
    <x v="3"/>
    <x v="3"/>
    <x v="2"/>
    <x v="0"/>
    <x v="2"/>
    <n v="9432"/>
    <n v="3"/>
    <n v="4.0999999999999996"/>
    <n v="4"/>
    <x v="0"/>
  </r>
  <r>
    <x v="10"/>
    <s v="08/09/2025"/>
    <x v="9"/>
    <x v="6"/>
    <x v="1"/>
    <x v="1"/>
    <x v="1"/>
    <x v="2"/>
    <n v="1749"/>
    <n v="1"/>
    <n v="3.6"/>
    <n v="2"/>
    <x v="5"/>
  </r>
  <r>
    <x v="11"/>
    <s v="07/03/2025"/>
    <x v="10"/>
    <x v="9"/>
    <x v="1"/>
    <x v="1"/>
    <x v="0"/>
    <x v="1"/>
    <n v="85904"/>
    <n v="8"/>
    <n v="4"/>
    <n v="4"/>
    <x v="6"/>
  </r>
  <r>
    <x v="12"/>
    <s v="13/08/2025"/>
    <x v="6"/>
    <x v="4"/>
    <x v="3"/>
    <x v="4"/>
    <x v="2"/>
    <x v="2"/>
    <n v="9792"/>
    <n v="8"/>
    <n v="3.2"/>
    <n v="4"/>
    <x v="3"/>
  </r>
  <r>
    <x v="13"/>
    <s v="04/02/2025"/>
    <x v="10"/>
    <x v="10"/>
    <x v="0"/>
    <x v="4"/>
    <x v="1"/>
    <x v="0"/>
    <n v="976"/>
    <n v="1"/>
    <n v="4.4000000000000004"/>
    <n v="4"/>
    <x v="7"/>
  </r>
  <r>
    <x v="14"/>
    <s v="08/04/2025"/>
    <x v="7"/>
    <x v="11"/>
    <x v="3"/>
    <x v="0"/>
    <x v="1"/>
    <x v="1"/>
    <n v="8338"/>
    <n v="2"/>
    <n v="4"/>
    <n v="1"/>
    <x v="2"/>
  </r>
  <r>
    <x v="15"/>
    <s v="09/04/2025"/>
    <x v="9"/>
    <x v="10"/>
    <x v="0"/>
    <x v="3"/>
    <x v="2"/>
    <x v="2"/>
    <n v="5592"/>
    <n v="4"/>
    <n v="3.7"/>
    <n v="4"/>
    <x v="2"/>
  </r>
  <r>
    <x v="16"/>
    <s v="17/02/2025"/>
    <x v="1"/>
    <x v="1"/>
    <x v="1"/>
    <x v="3"/>
    <x v="2"/>
    <x v="3"/>
    <n v="17208"/>
    <n v="4"/>
    <n v="4.8"/>
    <n v="1"/>
    <x v="7"/>
  </r>
  <r>
    <x v="17"/>
    <s v="27/05/2025"/>
    <x v="6"/>
    <x v="12"/>
    <x v="2"/>
    <x v="1"/>
    <x v="2"/>
    <x v="1"/>
    <n v="159523"/>
    <n v="7"/>
    <n v="3.6"/>
    <n v="1"/>
    <x v="0"/>
  </r>
  <r>
    <x v="18"/>
    <s v="27/10/2025"/>
    <x v="9"/>
    <x v="0"/>
    <x v="0"/>
    <x v="5"/>
    <x v="2"/>
    <x v="0"/>
    <n v="10632"/>
    <n v="8"/>
    <n v="3.3"/>
    <n v="3"/>
    <x v="1"/>
  </r>
  <r>
    <x v="19"/>
    <s v="19/10/2025"/>
    <x v="11"/>
    <x v="3"/>
    <x v="3"/>
    <x v="5"/>
    <x v="3"/>
    <x v="0"/>
    <n v="5484"/>
    <n v="4"/>
    <n v="4.4000000000000004"/>
    <n v="6"/>
    <x v="1"/>
  </r>
  <r>
    <x v="20"/>
    <s v="09/03/2025"/>
    <x v="9"/>
    <x v="12"/>
    <x v="2"/>
    <x v="5"/>
    <x v="0"/>
    <x v="1"/>
    <n v="60040"/>
    <n v="5"/>
    <n v="4.3"/>
    <n v="2"/>
    <x v="6"/>
  </r>
  <r>
    <x v="21"/>
    <s v="05/02/2025"/>
    <x v="10"/>
    <x v="13"/>
    <x v="4"/>
    <x v="2"/>
    <x v="2"/>
    <x v="0"/>
    <n v="5668"/>
    <n v="4"/>
    <n v="4.5"/>
    <n v="1"/>
    <x v="7"/>
  </r>
  <r>
    <x v="22"/>
    <s v="24/02/2025"/>
    <x v="12"/>
    <x v="14"/>
    <x v="2"/>
    <x v="3"/>
    <x v="3"/>
    <x v="2"/>
    <n v="245328"/>
    <n v="3"/>
    <n v="3.6"/>
    <n v="5"/>
    <x v="7"/>
  </r>
  <r>
    <x v="23"/>
    <s v="22/05/2025"/>
    <x v="10"/>
    <x v="15"/>
    <x v="0"/>
    <x v="1"/>
    <x v="1"/>
    <x v="2"/>
    <n v="307"/>
    <n v="1"/>
    <n v="3.5"/>
    <n v="8"/>
    <x v="0"/>
  </r>
  <r>
    <x v="24"/>
    <s v="20/12/2025"/>
    <x v="2"/>
    <x v="0"/>
    <x v="0"/>
    <x v="2"/>
    <x v="3"/>
    <x v="2"/>
    <n v="4251"/>
    <n v="3"/>
    <n v="3.5"/>
    <n v="3"/>
    <x v="8"/>
  </r>
  <r>
    <x v="25"/>
    <s v="16/12/2025"/>
    <x v="13"/>
    <x v="2"/>
    <x v="2"/>
    <x v="4"/>
    <x v="0"/>
    <x v="3"/>
    <n v="195428"/>
    <n v="4"/>
    <n v="5"/>
    <n v="3"/>
    <x v="8"/>
  </r>
  <r>
    <x v="26"/>
    <s v="20/06/2025"/>
    <x v="14"/>
    <x v="10"/>
    <x v="0"/>
    <x v="4"/>
    <x v="0"/>
    <x v="3"/>
    <n v="11697"/>
    <n v="7"/>
    <n v="3.9"/>
    <n v="1"/>
    <x v="9"/>
  </r>
  <r>
    <x v="27"/>
    <s v="27/04/2025"/>
    <x v="15"/>
    <x v="16"/>
    <x v="2"/>
    <x v="1"/>
    <x v="1"/>
    <x v="1"/>
    <n v="218908"/>
    <n v="4"/>
    <n v="4.8"/>
    <n v="5"/>
    <x v="2"/>
  </r>
  <r>
    <x v="28"/>
    <s v="14/05/2025"/>
    <x v="16"/>
    <x v="0"/>
    <x v="0"/>
    <x v="5"/>
    <x v="2"/>
    <x v="3"/>
    <n v="4467"/>
    <n v="3"/>
    <n v="4"/>
    <n v="6"/>
    <x v="0"/>
  </r>
  <r>
    <x v="29"/>
    <s v="11/05/2025"/>
    <x v="15"/>
    <x v="9"/>
    <x v="1"/>
    <x v="3"/>
    <x v="2"/>
    <x v="1"/>
    <n v="9621"/>
    <n v="1"/>
    <n v="4.4000000000000004"/>
    <n v="4"/>
    <x v="0"/>
  </r>
  <r>
    <x v="30"/>
    <s v="06/12/2025"/>
    <x v="3"/>
    <x v="6"/>
    <x v="1"/>
    <x v="5"/>
    <x v="0"/>
    <x v="0"/>
    <n v="23452"/>
    <n v="2"/>
    <n v="3.9"/>
    <n v="7"/>
    <x v="8"/>
  </r>
  <r>
    <x v="31"/>
    <s v="13/12/2025"/>
    <x v="16"/>
    <x v="11"/>
    <x v="3"/>
    <x v="5"/>
    <x v="3"/>
    <x v="3"/>
    <n v="15564"/>
    <n v="3"/>
    <n v="3.7"/>
    <n v="4"/>
    <x v="8"/>
  </r>
  <r>
    <x v="32"/>
    <s v="12/12/2025"/>
    <x v="9"/>
    <x v="11"/>
    <x v="3"/>
    <x v="4"/>
    <x v="3"/>
    <x v="0"/>
    <n v="5576"/>
    <n v="4"/>
    <n v="4.0999999999999996"/>
    <n v="6"/>
    <x v="8"/>
  </r>
  <r>
    <x v="33"/>
    <s v="13/01/2025"/>
    <x v="5"/>
    <x v="7"/>
    <x v="4"/>
    <x v="3"/>
    <x v="1"/>
    <x v="0"/>
    <n v="2196"/>
    <n v="1"/>
    <n v="3.9"/>
    <n v="4"/>
    <x v="10"/>
  </r>
  <r>
    <x v="34"/>
    <s v="24/02/2025"/>
    <x v="17"/>
    <x v="17"/>
    <x v="4"/>
    <x v="4"/>
    <x v="1"/>
    <x v="1"/>
    <n v="6790"/>
    <n v="7"/>
    <n v="4.2"/>
    <n v="2"/>
    <x v="7"/>
  </r>
  <r>
    <x v="35"/>
    <s v="08/10/2025"/>
    <x v="12"/>
    <x v="11"/>
    <x v="3"/>
    <x v="3"/>
    <x v="0"/>
    <x v="1"/>
    <n v="22584"/>
    <n v="8"/>
    <n v="4.7"/>
    <n v="5"/>
    <x v="1"/>
  </r>
  <r>
    <x v="36"/>
    <s v="27/05/2025"/>
    <x v="5"/>
    <x v="3"/>
    <x v="3"/>
    <x v="1"/>
    <x v="0"/>
    <x v="0"/>
    <n v="20496"/>
    <n v="4"/>
    <n v="3.4"/>
    <n v="4"/>
    <x v="0"/>
  </r>
  <r>
    <x v="37"/>
    <s v="28/07/2025"/>
    <x v="6"/>
    <x v="15"/>
    <x v="0"/>
    <x v="1"/>
    <x v="2"/>
    <x v="3"/>
    <n v="8466"/>
    <n v="6"/>
    <n v="4.7"/>
    <n v="7"/>
    <x v="4"/>
  </r>
  <r>
    <x v="38"/>
    <s v="30/06/2025"/>
    <x v="13"/>
    <x v="3"/>
    <x v="3"/>
    <x v="2"/>
    <x v="1"/>
    <x v="3"/>
    <n v="25865"/>
    <n v="5"/>
    <n v="4.8"/>
    <n v="8"/>
    <x v="9"/>
  </r>
  <r>
    <x v="39"/>
    <s v="22/06/2025"/>
    <x v="6"/>
    <x v="15"/>
    <x v="0"/>
    <x v="5"/>
    <x v="2"/>
    <x v="2"/>
    <n v="12481"/>
    <n v="7"/>
    <n v="4.2"/>
    <n v="7"/>
    <x v="9"/>
  </r>
  <r>
    <x v="40"/>
    <s v="25/08/2025"/>
    <x v="5"/>
    <x v="18"/>
    <x v="3"/>
    <x v="2"/>
    <x v="1"/>
    <x v="1"/>
    <n v="10143"/>
    <n v="3"/>
    <n v="4"/>
    <n v="6"/>
    <x v="3"/>
  </r>
  <r>
    <x v="41"/>
    <s v="10/01/2025"/>
    <x v="0"/>
    <x v="15"/>
    <x v="0"/>
    <x v="5"/>
    <x v="0"/>
    <x v="0"/>
    <n v="1016"/>
    <n v="1"/>
    <n v="4.9000000000000004"/>
    <n v="4"/>
    <x v="10"/>
  </r>
  <r>
    <x v="42"/>
    <s v="09/12/2025"/>
    <x v="1"/>
    <x v="5"/>
    <x v="4"/>
    <x v="2"/>
    <x v="2"/>
    <x v="2"/>
    <n v="2284"/>
    <n v="2"/>
    <n v="3.5"/>
    <n v="2"/>
    <x v="8"/>
  </r>
  <r>
    <x v="43"/>
    <s v="13/12/2025"/>
    <x v="4"/>
    <x v="19"/>
    <x v="2"/>
    <x v="0"/>
    <x v="2"/>
    <x v="1"/>
    <n v="87227"/>
    <n v="7"/>
    <n v="3.6"/>
    <n v="5"/>
    <x v="8"/>
  </r>
  <r>
    <x v="44"/>
    <s v="05/12/2025"/>
    <x v="16"/>
    <x v="8"/>
    <x v="1"/>
    <x v="2"/>
    <x v="1"/>
    <x v="0"/>
    <n v="46092"/>
    <n v="6"/>
    <n v="4.7"/>
    <n v="2"/>
    <x v="8"/>
  </r>
  <r>
    <x v="45"/>
    <s v="25/09/2025"/>
    <x v="18"/>
    <x v="18"/>
    <x v="3"/>
    <x v="4"/>
    <x v="2"/>
    <x v="1"/>
    <n v="22540"/>
    <n v="5"/>
    <n v="4.7"/>
    <n v="5"/>
    <x v="5"/>
  </r>
  <r>
    <x v="46"/>
    <s v="26/08/2025"/>
    <x v="11"/>
    <x v="18"/>
    <x v="3"/>
    <x v="2"/>
    <x v="3"/>
    <x v="1"/>
    <n v="23534"/>
    <n v="7"/>
    <n v="4.0999999999999996"/>
    <n v="6"/>
    <x v="3"/>
  </r>
  <r>
    <x v="47"/>
    <s v="22/09/2025"/>
    <x v="14"/>
    <x v="1"/>
    <x v="1"/>
    <x v="3"/>
    <x v="2"/>
    <x v="2"/>
    <n v="39584"/>
    <n v="4"/>
    <n v="4.5999999999999996"/>
    <n v="8"/>
    <x v="5"/>
  </r>
  <r>
    <x v="48"/>
    <s v="27/07/2025"/>
    <x v="15"/>
    <x v="2"/>
    <x v="2"/>
    <x v="1"/>
    <x v="1"/>
    <x v="1"/>
    <n v="258124"/>
    <n v="4"/>
    <n v="3.8"/>
    <n v="6"/>
    <x v="4"/>
  </r>
  <r>
    <x v="49"/>
    <s v="29/04/2025"/>
    <x v="19"/>
    <x v="16"/>
    <x v="2"/>
    <x v="4"/>
    <x v="1"/>
    <x v="1"/>
    <n v="87718"/>
    <n v="2"/>
    <n v="4.9000000000000004"/>
    <n v="3"/>
    <x v="2"/>
  </r>
  <r>
    <x v="50"/>
    <s v="21/02/2025"/>
    <x v="11"/>
    <x v="6"/>
    <x v="1"/>
    <x v="0"/>
    <x v="2"/>
    <x v="1"/>
    <n v="23008"/>
    <n v="4"/>
    <n v="3.2"/>
    <n v="3"/>
    <x v="7"/>
  </r>
  <r>
    <x v="51"/>
    <s v="22/02/2025"/>
    <x v="11"/>
    <x v="5"/>
    <x v="4"/>
    <x v="3"/>
    <x v="2"/>
    <x v="2"/>
    <n v="1414"/>
    <n v="1"/>
    <n v="3.8"/>
    <n v="1"/>
    <x v="7"/>
  </r>
  <r>
    <x v="52"/>
    <s v="07/02/2025"/>
    <x v="10"/>
    <x v="11"/>
    <x v="3"/>
    <x v="3"/>
    <x v="0"/>
    <x v="3"/>
    <n v="3189"/>
    <n v="1"/>
    <n v="5"/>
    <n v="2"/>
    <x v="7"/>
  </r>
  <r>
    <x v="53"/>
    <s v="02/06/2025"/>
    <x v="9"/>
    <x v="11"/>
    <x v="3"/>
    <x v="4"/>
    <x v="0"/>
    <x v="0"/>
    <n v="10584"/>
    <n v="7"/>
    <n v="4.3"/>
    <n v="5"/>
    <x v="9"/>
  </r>
  <r>
    <x v="54"/>
    <s v="22/03/2025"/>
    <x v="3"/>
    <x v="1"/>
    <x v="1"/>
    <x v="1"/>
    <x v="1"/>
    <x v="2"/>
    <n v="5571"/>
    <n v="1"/>
    <n v="3.3"/>
    <n v="5"/>
    <x v="6"/>
  </r>
  <r>
    <x v="55"/>
    <s v="17/11/2025"/>
    <x v="8"/>
    <x v="13"/>
    <x v="4"/>
    <x v="0"/>
    <x v="2"/>
    <x v="0"/>
    <n v="2880"/>
    <n v="4"/>
    <n v="3.5"/>
    <n v="5"/>
    <x v="11"/>
  </r>
  <r>
    <x v="56"/>
    <s v="19/10/2025"/>
    <x v="17"/>
    <x v="19"/>
    <x v="2"/>
    <x v="0"/>
    <x v="2"/>
    <x v="3"/>
    <n v="319665"/>
    <n v="5"/>
    <n v="4.9000000000000004"/>
    <n v="8"/>
    <x v="1"/>
  </r>
  <r>
    <x v="57"/>
    <s v="09/05/2025"/>
    <x v="6"/>
    <x v="19"/>
    <x v="2"/>
    <x v="0"/>
    <x v="0"/>
    <x v="3"/>
    <n v="77892"/>
    <n v="1"/>
    <n v="5"/>
    <n v="5"/>
    <x v="0"/>
  </r>
  <r>
    <x v="58"/>
    <s v="23/05/2025"/>
    <x v="18"/>
    <x v="8"/>
    <x v="1"/>
    <x v="1"/>
    <x v="2"/>
    <x v="0"/>
    <n v="25500"/>
    <n v="3"/>
    <n v="3.8"/>
    <n v="6"/>
    <x v="0"/>
  </r>
  <r>
    <x v="59"/>
    <s v="22/12/2025"/>
    <x v="18"/>
    <x v="12"/>
    <x v="2"/>
    <x v="0"/>
    <x v="1"/>
    <x v="2"/>
    <n v="596816"/>
    <n v="8"/>
    <n v="3.4"/>
    <n v="5"/>
    <x v="8"/>
  </r>
  <r>
    <x v="60"/>
    <s v="31/07/2025"/>
    <x v="19"/>
    <x v="8"/>
    <x v="1"/>
    <x v="2"/>
    <x v="0"/>
    <x v="1"/>
    <n v="8967"/>
    <n v="1"/>
    <n v="4.3"/>
    <n v="1"/>
    <x v="4"/>
  </r>
  <r>
    <x v="61"/>
    <s v="04/03/2025"/>
    <x v="9"/>
    <x v="11"/>
    <x v="3"/>
    <x v="4"/>
    <x v="2"/>
    <x v="3"/>
    <n v="3245"/>
    <n v="1"/>
    <n v="3.2"/>
    <n v="7"/>
    <x v="6"/>
  </r>
  <r>
    <x v="62"/>
    <s v="13/09/2025"/>
    <x v="5"/>
    <x v="10"/>
    <x v="0"/>
    <x v="4"/>
    <x v="0"/>
    <x v="2"/>
    <n v="6710"/>
    <n v="5"/>
    <n v="3.6"/>
    <n v="3"/>
    <x v="5"/>
  </r>
  <r>
    <x v="63"/>
    <s v="24/06/2025"/>
    <x v="8"/>
    <x v="12"/>
    <x v="2"/>
    <x v="3"/>
    <x v="1"/>
    <x v="1"/>
    <n v="208160"/>
    <n v="5"/>
    <n v="5"/>
    <n v="8"/>
    <x v="9"/>
  </r>
  <r>
    <x v="64"/>
    <s v="06/10/2025"/>
    <x v="2"/>
    <x v="19"/>
    <x v="2"/>
    <x v="2"/>
    <x v="1"/>
    <x v="3"/>
    <n v="190589"/>
    <n v="7"/>
    <n v="3.9"/>
    <n v="7"/>
    <x v="1"/>
  </r>
  <r>
    <x v="65"/>
    <s v="11/09/2025"/>
    <x v="7"/>
    <x v="18"/>
    <x v="3"/>
    <x v="5"/>
    <x v="1"/>
    <x v="2"/>
    <n v="3419"/>
    <n v="1"/>
    <n v="4.8"/>
    <n v="8"/>
    <x v="5"/>
  </r>
  <r>
    <x v="66"/>
    <s v="02/12/2025"/>
    <x v="18"/>
    <x v="5"/>
    <x v="4"/>
    <x v="1"/>
    <x v="1"/>
    <x v="1"/>
    <n v="6519"/>
    <n v="3"/>
    <n v="4.4000000000000004"/>
    <n v="2"/>
    <x v="8"/>
  </r>
  <r>
    <x v="67"/>
    <s v="13/11/2025"/>
    <x v="17"/>
    <x v="3"/>
    <x v="3"/>
    <x v="4"/>
    <x v="3"/>
    <x v="2"/>
    <n v="2880"/>
    <n v="2"/>
    <n v="5"/>
    <n v="2"/>
    <x v="11"/>
  </r>
  <r>
    <x v="68"/>
    <s v="29/01/2025"/>
    <x v="1"/>
    <x v="20"/>
    <x v="0"/>
    <x v="4"/>
    <x v="2"/>
    <x v="3"/>
    <n v="5170"/>
    <n v="5"/>
    <n v="4.2"/>
    <n v="3"/>
    <x v="10"/>
  </r>
  <r>
    <x v="69"/>
    <s v="12/09/2025"/>
    <x v="3"/>
    <x v="9"/>
    <x v="1"/>
    <x v="1"/>
    <x v="0"/>
    <x v="2"/>
    <n v="14949"/>
    <n v="3"/>
    <n v="4.4000000000000004"/>
    <n v="8"/>
    <x v="5"/>
  </r>
  <r>
    <x v="70"/>
    <s v="28/10/2025"/>
    <x v="14"/>
    <x v="4"/>
    <x v="3"/>
    <x v="0"/>
    <x v="0"/>
    <x v="3"/>
    <n v="22210"/>
    <n v="5"/>
    <n v="3.6"/>
    <n v="7"/>
    <x v="1"/>
  </r>
  <r>
    <x v="71"/>
    <s v="22/10/2025"/>
    <x v="4"/>
    <x v="6"/>
    <x v="1"/>
    <x v="1"/>
    <x v="1"/>
    <x v="1"/>
    <n v="26485"/>
    <n v="5"/>
    <n v="3.2"/>
    <n v="1"/>
    <x v="1"/>
  </r>
  <r>
    <x v="72"/>
    <s v="23/04/2025"/>
    <x v="3"/>
    <x v="13"/>
    <x v="4"/>
    <x v="3"/>
    <x v="2"/>
    <x v="1"/>
    <n v="5104"/>
    <n v="4"/>
    <n v="4.8"/>
    <n v="1"/>
    <x v="2"/>
  </r>
  <r>
    <x v="73"/>
    <s v="01/06/2025"/>
    <x v="12"/>
    <x v="17"/>
    <x v="4"/>
    <x v="5"/>
    <x v="3"/>
    <x v="0"/>
    <n v="5814"/>
    <n v="6"/>
    <n v="4.8"/>
    <n v="6"/>
    <x v="9"/>
  </r>
  <r>
    <x v="74"/>
    <s v="01/06/2025"/>
    <x v="10"/>
    <x v="12"/>
    <x v="2"/>
    <x v="2"/>
    <x v="2"/>
    <x v="3"/>
    <n v="74214"/>
    <n v="6"/>
    <n v="4.7"/>
    <n v="7"/>
    <x v="9"/>
  </r>
  <r>
    <x v="75"/>
    <s v="02/10/2025"/>
    <x v="7"/>
    <x v="20"/>
    <x v="0"/>
    <x v="1"/>
    <x v="0"/>
    <x v="3"/>
    <n v="2462"/>
    <n v="2"/>
    <n v="4.7"/>
    <n v="6"/>
    <x v="1"/>
  </r>
  <r>
    <x v="76"/>
    <s v="09/11/2025"/>
    <x v="2"/>
    <x v="20"/>
    <x v="0"/>
    <x v="0"/>
    <x v="3"/>
    <x v="3"/>
    <n v="6504"/>
    <n v="4"/>
    <n v="3.9"/>
    <n v="3"/>
    <x v="11"/>
  </r>
  <r>
    <x v="77"/>
    <s v="01/05/2025"/>
    <x v="16"/>
    <x v="0"/>
    <x v="0"/>
    <x v="1"/>
    <x v="2"/>
    <x v="3"/>
    <n v="3285"/>
    <n v="3"/>
    <n v="4.3"/>
    <n v="3"/>
    <x v="0"/>
  </r>
  <r>
    <x v="78"/>
    <s v="24/05/2025"/>
    <x v="7"/>
    <x v="8"/>
    <x v="1"/>
    <x v="1"/>
    <x v="3"/>
    <x v="1"/>
    <n v="8085"/>
    <n v="1"/>
    <n v="4.9000000000000004"/>
    <n v="6"/>
    <x v="0"/>
  </r>
  <r>
    <x v="79"/>
    <s v="22/05/2025"/>
    <x v="2"/>
    <x v="15"/>
    <x v="0"/>
    <x v="2"/>
    <x v="0"/>
    <x v="0"/>
    <n v="2200"/>
    <n v="4"/>
    <n v="4.4000000000000004"/>
    <n v="1"/>
    <x v="0"/>
  </r>
  <r>
    <x v="80"/>
    <s v="05/02/2025"/>
    <x v="11"/>
    <x v="9"/>
    <x v="1"/>
    <x v="4"/>
    <x v="0"/>
    <x v="1"/>
    <n v="12868"/>
    <n v="4"/>
    <n v="4.5999999999999996"/>
    <n v="1"/>
    <x v="7"/>
  </r>
  <r>
    <x v="81"/>
    <s v="05/12/2025"/>
    <x v="11"/>
    <x v="17"/>
    <x v="4"/>
    <x v="0"/>
    <x v="0"/>
    <x v="3"/>
    <n v="310"/>
    <n v="1"/>
    <n v="3.8"/>
    <n v="3"/>
    <x v="8"/>
  </r>
  <r>
    <x v="82"/>
    <s v="02/02/2025"/>
    <x v="4"/>
    <x v="1"/>
    <x v="1"/>
    <x v="0"/>
    <x v="3"/>
    <x v="3"/>
    <n v="20688"/>
    <n v="8"/>
    <n v="4"/>
    <n v="4"/>
    <x v="7"/>
  </r>
  <r>
    <x v="83"/>
    <s v="03/09/2025"/>
    <x v="4"/>
    <x v="0"/>
    <x v="0"/>
    <x v="4"/>
    <x v="2"/>
    <x v="0"/>
    <n v="8211"/>
    <n v="7"/>
    <n v="4.8"/>
    <n v="6"/>
    <x v="5"/>
  </r>
  <r>
    <x v="84"/>
    <s v="21/11/2025"/>
    <x v="7"/>
    <x v="19"/>
    <x v="2"/>
    <x v="1"/>
    <x v="0"/>
    <x v="3"/>
    <n v="246912"/>
    <n v="6"/>
    <n v="4.3"/>
    <n v="2"/>
    <x v="11"/>
  </r>
  <r>
    <x v="85"/>
    <s v="31/07/2025"/>
    <x v="15"/>
    <x v="18"/>
    <x v="3"/>
    <x v="4"/>
    <x v="1"/>
    <x v="2"/>
    <n v="8868"/>
    <n v="6"/>
    <n v="4"/>
    <n v="5"/>
    <x v="4"/>
  </r>
  <r>
    <x v="86"/>
    <s v="17/02/2025"/>
    <x v="7"/>
    <x v="0"/>
    <x v="0"/>
    <x v="3"/>
    <x v="3"/>
    <x v="3"/>
    <n v="3479"/>
    <n v="7"/>
    <n v="4.3"/>
    <n v="6"/>
    <x v="7"/>
  </r>
  <r>
    <x v="87"/>
    <s v="04/11/2025"/>
    <x v="13"/>
    <x v="20"/>
    <x v="0"/>
    <x v="0"/>
    <x v="3"/>
    <x v="1"/>
    <n v="5100"/>
    <n v="5"/>
    <n v="3.5"/>
    <n v="8"/>
    <x v="11"/>
  </r>
  <r>
    <x v="88"/>
    <s v="21/10/2025"/>
    <x v="18"/>
    <x v="20"/>
    <x v="0"/>
    <x v="2"/>
    <x v="2"/>
    <x v="0"/>
    <n v="4712"/>
    <n v="4"/>
    <n v="3.5"/>
    <n v="5"/>
    <x v="1"/>
  </r>
  <r>
    <x v="89"/>
    <s v="05/02/2025"/>
    <x v="18"/>
    <x v="5"/>
    <x v="4"/>
    <x v="4"/>
    <x v="3"/>
    <x v="1"/>
    <n v="1125"/>
    <n v="3"/>
    <n v="3.9"/>
    <n v="8"/>
    <x v="7"/>
  </r>
  <r>
    <x v="90"/>
    <s v="02/11/2025"/>
    <x v="17"/>
    <x v="19"/>
    <x v="2"/>
    <x v="1"/>
    <x v="1"/>
    <x v="3"/>
    <n v="46264"/>
    <n v="2"/>
    <n v="4.4000000000000004"/>
    <n v="5"/>
    <x v="11"/>
  </r>
  <r>
    <x v="91"/>
    <s v="01/08/2025"/>
    <x v="12"/>
    <x v="8"/>
    <x v="1"/>
    <x v="1"/>
    <x v="3"/>
    <x v="2"/>
    <n v="39215"/>
    <n v="5"/>
    <n v="3.4"/>
    <n v="8"/>
    <x v="3"/>
  </r>
  <r>
    <x v="92"/>
    <s v="03/11/2025"/>
    <x v="18"/>
    <x v="5"/>
    <x v="4"/>
    <x v="0"/>
    <x v="2"/>
    <x v="3"/>
    <n v="1087"/>
    <n v="1"/>
    <n v="4.5999999999999996"/>
    <n v="5"/>
    <x v="11"/>
  </r>
  <r>
    <x v="93"/>
    <s v="08/03/2025"/>
    <x v="5"/>
    <x v="18"/>
    <x v="3"/>
    <x v="1"/>
    <x v="2"/>
    <x v="3"/>
    <n v="36939"/>
    <n v="7"/>
    <n v="4.7"/>
    <n v="2"/>
    <x v="6"/>
  </r>
  <r>
    <x v="94"/>
    <s v="09/02/2025"/>
    <x v="5"/>
    <x v="15"/>
    <x v="0"/>
    <x v="0"/>
    <x v="3"/>
    <x v="0"/>
    <n v="8874"/>
    <n v="6"/>
    <n v="4"/>
    <n v="2"/>
    <x v="7"/>
  </r>
  <r>
    <x v="95"/>
    <s v="20/12/2025"/>
    <x v="5"/>
    <x v="8"/>
    <x v="1"/>
    <x v="2"/>
    <x v="3"/>
    <x v="0"/>
    <n v="47628"/>
    <n v="6"/>
    <n v="4.3"/>
    <n v="2"/>
    <x v="8"/>
  </r>
  <r>
    <x v="96"/>
    <s v="09/02/2025"/>
    <x v="13"/>
    <x v="2"/>
    <x v="2"/>
    <x v="0"/>
    <x v="0"/>
    <x v="1"/>
    <n v="55830"/>
    <n v="2"/>
    <n v="4.5"/>
    <n v="3"/>
    <x v="7"/>
  </r>
  <r>
    <x v="97"/>
    <s v="05/11/2025"/>
    <x v="6"/>
    <x v="7"/>
    <x v="4"/>
    <x v="1"/>
    <x v="3"/>
    <x v="1"/>
    <n v="1674"/>
    <n v="3"/>
    <n v="4"/>
    <n v="8"/>
    <x v="11"/>
  </r>
  <r>
    <x v="98"/>
    <s v="04/02/2025"/>
    <x v="3"/>
    <x v="5"/>
    <x v="4"/>
    <x v="3"/>
    <x v="1"/>
    <x v="2"/>
    <n v="11920"/>
    <n v="8"/>
    <n v="3.8"/>
    <n v="2"/>
    <x v="7"/>
  </r>
  <r>
    <x v="99"/>
    <s v="27/05/2025"/>
    <x v="17"/>
    <x v="20"/>
    <x v="0"/>
    <x v="5"/>
    <x v="0"/>
    <x v="1"/>
    <n v="3240"/>
    <n v="2"/>
    <n v="3.9"/>
    <n v="1"/>
    <x v="0"/>
  </r>
  <r>
    <x v="100"/>
    <s v="14/09/2025"/>
    <x v="2"/>
    <x v="8"/>
    <x v="1"/>
    <x v="4"/>
    <x v="1"/>
    <x v="3"/>
    <n v="6543"/>
    <n v="3"/>
    <n v="4.0999999999999996"/>
    <n v="3"/>
    <x v="5"/>
  </r>
  <r>
    <x v="101"/>
    <s v="06/07/2025"/>
    <x v="9"/>
    <x v="9"/>
    <x v="1"/>
    <x v="2"/>
    <x v="2"/>
    <x v="3"/>
    <n v="71538"/>
    <n v="6"/>
    <n v="4.3"/>
    <n v="6"/>
    <x v="4"/>
  </r>
  <r>
    <x v="102"/>
    <s v="03/12/2025"/>
    <x v="8"/>
    <x v="16"/>
    <x v="2"/>
    <x v="5"/>
    <x v="2"/>
    <x v="1"/>
    <n v="236640"/>
    <n v="3"/>
    <n v="3.8"/>
    <n v="7"/>
    <x v="8"/>
  </r>
  <r>
    <x v="103"/>
    <s v="26/11/2025"/>
    <x v="0"/>
    <x v="8"/>
    <x v="1"/>
    <x v="2"/>
    <x v="3"/>
    <x v="0"/>
    <n v="70704"/>
    <n v="6"/>
    <n v="4"/>
    <n v="6"/>
    <x v="11"/>
  </r>
  <r>
    <x v="104"/>
    <s v="06/09/2025"/>
    <x v="12"/>
    <x v="13"/>
    <x v="4"/>
    <x v="5"/>
    <x v="2"/>
    <x v="1"/>
    <n v="3252"/>
    <n v="4"/>
    <n v="4.7"/>
    <n v="2"/>
    <x v="5"/>
  </r>
  <r>
    <x v="105"/>
    <s v="02/11/2025"/>
    <x v="16"/>
    <x v="9"/>
    <x v="1"/>
    <x v="2"/>
    <x v="0"/>
    <x v="3"/>
    <n v="24584"/>
    <n v="7"/>
    <n v="4.5"/>
    <n v="1"/>
    <x v="11"/>
  </r>
  <r>
    <x v="106"/>
    <s v="18/08/2025"/>
    <x v="17"/>
    <x v="6"/>
    <x v="1"/>
    <x v="2"/>
    <x v="1"/>
    <x v="3"/>
    <n v="15912"/>
    <n v="4"/>
    <n v="3.9"/>
    <n v="8"/>
    <x v="3"/>
  </r>
  <r>
    <x v="107"/>
    <s v="06/11/2025"/>
    <x v="3"/>
    <x v="7"/>
    <x v="4"/>
    <x v="0"/>
    <x v="0"/>
    <x v="1"/>
    <n v="1389"/>
    <n v="3"/>
    <n v="4.9000000000000004"/>
    <n v="2"/>
    <x v="11"/>
  </r>
  <r>
    <x v="108"/>
    <s v="12/08/2025"/>
    <x v="13"/>
    <x v="18"/>
    <x v="3"/>
    <x v="3"/>
    <x v="2"/>
    <x v="1"/>
    <n v="1836"/>
    <n v="2"/>
    <n v="3.3"/>
    <n v="6"/>
    <x v="3"/>
  </r>
  <r>
    <x v="109"/>
    <s v="13/06/2025"/>
    <x v="8"/>
    <x v="17"/>
    <x v="4"/>
    <x v="1"/>
    <x v="1"/>
    <x v="3"/>
    <n v="3246"/>
    <n v="2"/>
    <n v="3.7"/>
    <n v="8"/>
    <x v="9"/>
  </r>
  <r>
    <x v="110"/>
    <s v="10/02/2025"/>
    <x v="3"/>
    <x v="1"/>
    <x v="1"/>
    <x v="4"/>
    <x v="3"/>
    <x v="2"/>
    <n v="10775"/>
    <n v="1"/>
    <n v="4.0999999999999996"/>
    <n v="2"/>
    <x v="7"/>
  </r>
  <r>
    <x v="111"/>
    <s v="03/08/2025"/>
    <x v="8"/>
    <x v="10"/>
    <x v="0"/>
    <x v="2"/>
    <x v="1"/>
    <x v="2"/>
    <n v="3424"/>
    <n v="8"/>
    <n v="3.2"/>
    <n v="4"/>
    <x v="3"/>
  </r>
  <r>
    <x v="112"/>
    <s v="04/05/2025"/>
    <x v="5"/>
    <x v="6"/>
    <x v="1"/>
    <x v="3"/>
    <x v="2"/>
    <x v="3"/>
    <n v="13356"/>
    <n v="7"/>
    <n v="4.9000000000000004"/>
    <n v="1"/>
    <x v="0"/>
  </r>
  <r>
    <x v="113"/>
    <s v="09/01/2025"/>
    <x v="8"/>
    <x v="16"/>
    <x v="2"/>
    <x v="0"/>
    <x v="3"/>
    <x v="1"/>
    <n v="204624"/>
    <n v="6"/>
    <n v="4.5999999999999996"/>
    <n v="6"/>
    <x v="10"/>
  </r>
  <r>
    <x v="114"/>
    <s v="23/12/2025"/>
    <x v="2"/>
    <x v="5"/>
    <x v="4"/>
    <x v="4"/>
    <x v="2"/>
    <x v="1"/>
    <n v="7968"/>
    <n v="8"/>
    <n v="3.3"/>
    <n v="4"/>
    <x v="8"/>
  </r>
  <r>
    <x v="115"/>
    <s v="23/07/2025"/>
    <x v="18"/>
    <x v="19"/>
    <x v="2"/>
    <x v="2"/>
    <x v="2"/>
    <x v="1"/>
    <n v="220384"/>
    <n v="8"/>
    <n v="4.8"/>
    <n v="1"/>
    <x v="4"/>
  </r>
  <r>
    <x v="116"/>
    <s v="14/08/2025"/>
    <x v="9"/>
    <x v="11"/>
    <x v="3"/>
    <x v="1"/>
    <x v="1"/>
    <x v="2"/>
    <n v="33425"/>
    <n v="7"/>
    <n v="4.9000000000000004"/>
    <n v="5"/>
    <x v="3"/>
  </r>
  <r>
    <x v="117"/>
    <s v="07/10/2025"/>
    <x v="4"/>
    <x v="18"/>
    <x v="3"/>
    <x v="1"/>
    <x v="1"/>
    <x v="0"/>
    <n v="16930"/>
    <n v="5"/>
    <n v="3.7"/>
    <n v="8"/>
    <x v="1"/>
  </r>
  <r>
    <x v="118"/>
    <s v="17/08/2025"/>
    <x v="9"/>
    <x v="4"/>
    <x v="3"/>
    <x v="1"/>
    <x v="1"/>
    <x v="1"/>
    <n v="4263"/>
    <n v="1"/>
    <n v="4.4000000000000004"/>
    <n v="1"/>
    <x v="3"/>
  </r>
  <r>
    <x v="119"/>
    <s v="16/01/2025"/>
    <x v="15"/>
    <x v="9"/>
    <x v="1"/>
    <x v="3"/>
    <x v="2"/>
    <x v="0"/>
    <n v="5703"/>
    <n v="3"/>
    <n v="3.6"/>
    <n v="6"/>
    <x v="10"/>
  </r>
  <r>
    <x v="120"/>
    <s v="10/07/2025"/>
    <x v="13"/>
    <x v="4"/>
    <x v="3"/>
    <x v="0"/>
    <x v="2"/>
    <x v="0"/>
    <n v="29648"/>
    <n v="8"/>
    <n v="3.8"/>
    <n v="5"/>
    <x v="4"/>
  </r>
  <r>
    <x v="121"/>
    <s v="15/10/2025"/>
    <x v="19"/>
    <x v="11"/>
    <x v="3"/>
    <x v="0"/>
    <x v="0"/>
    <x v="2"/>
    <n v="4914"/>
    <n v="2"/>
    <n v="3.7"/>
    <n v="8"/>
    <x v="1"/>
  </r>
  <r>
    <x v="122"/>
    <s v="16/08/2025"/>
    <x v="1"/>
    <x v="18"/>
    <x v="3"/>
    <x v="1"/>
    <x v="0"/>
    <x v="1"/>
    <n v="2462"/>
    <n v="2"/>
    <n v="4.2"/>
    <n v="5"/>
    <x v="3"/>
  </r>
  <r>
    <x v="123"/>
    <s v="04/03/2025"/>
    <x v="17"/>
    <x v="9"/>
    <x v="1"/>
    <x v="5"/>
    <x v="0"/>
    <x v="2"/>
    <n v="26848"/>
    <n v="4"/>
    <n v="4.2"/>
    <n v="6"/>
    <x v="6"/>
  </r>
  <r>
    <x v="124"/>
    <s v="23/07/2025"/>
    <x v="9"/>
    <x v="20"/>
    <x v="0"/>
    <x v="3"/>
    <x v="1"/>
    <x v="1"/>
    <n v="11008"/>
    <n v="8"/>
    <n v="3.4"/>
    <n v="6"/>
    <x v="4"/>
  </r>
  <r>
    <x v="125"/>
    <s v="08/03/2025"/>
    <x v="18"/>
    <x v="7"/>
    <x v="4"/>
    <x v="1"/>
    <x v="0"/>
    <x v="1"/>
    <n v="3332"/>
    <n v="7"/>
    <n v="3.7"/>
    <n v="3"/>
    <x v="6"/>
  </r>
  <r>
    <x v="126"/>
    <s v="10/02/2025"/>
    <x v="12"/>
    <x v="6"/>
    <x v="1"/>
    <x v="1"/>
    <x v="0"/>
    <x v="0"/>
    <n v="28805"/>
    <n v="5"/>
    <n v="4.3"/>
    <n v="2"/>
    <x v="7"/>
  </r>
  <r>
    <x v="127"/>
    <s v="16/10/2025"/>
    <x v="6"/>
    <x v="13"/>
    <x v="4"/>
    <x v="3"/>
    <x v="2"/>
    <x v="3"/>
    <n v="582"/>
    <n v="1"/>
    <n v="3.7"/>
    <n v="4"/>
    <x v="1"/>
  </r>
  <r>
    <x v="128"/>
    <s v="25/11/2025"/>
    <x v="1"/>
    <x v="6"/>
    <x v="1"/>
    <x v="3"/>
    <x v="1"/>
    <x v="3"/>
    <n v="41150"/>
    <n v="5"/>
    <n v="3.3"/>
    <n v="1"/>
    <x v="11"/>
  </r>
  <r>
    <x v="129"/>
    <s v="24/06/2025"/>
    <x v="18"/>
    <x v="18"/>
    <x v="3"/>
    <x v="4"/>
    <x v="1"/>
    <x v="2"/>
    <n v="11898"/>
    <n v="3"/>
    <n v="4.5999999999999996"/>
    <n v="2"/>
    <x v="9"/>
  </r>
  <r>
    <x v="130"/>
    <s v="07/05/2025"/>
    <x v="18"/>
    <x v="12"/>
    <x v="2"/>
    <x v="5"/>
    <x v="3"/>
    <x v="0"/>
    <n v="121614"/>
    <n v="3"/>
    <n v="4"/>
    <n v="3"/>
    <x v="0"/>
  </r>
  <r>
    <x v="131"/>
    <s v="21/09/2025"/>
    <x v="13"/>
    <x v="5"/>
    <x v="4"/>
    <x v="4"/>
    <x v="3"/>
    <x v="2"/>
    <n v="12104"/>
    <n v="8"/>
    <n v="4.9000000000000004"/>
    <n v="8"/>
    <x v="5"/>
  </r>
  <r>
    <x v="132"/>
    <s v="11/09/2025"/>
    <x v="15"/>
    <x v="20"/>
    <x v="0"/>
    <x v="3"/>
    <x v="3"/>
    <x v="2"/>
    <n v="7080"/>
    <n v="8"/>
    <n v="3.4"/>
    <n v="5"/>
    <x v="5"/>
  </r>
  <r>
    <x v="133"/>
    <s v="19/10/2025"/>
    <x v="4"/>
    <x v="3"/>
    <x v="3"/>
    <x v="1"/>
    <x v="2"/>
    <x v="0"/>
    <n v="15456"/>
    <n v="4"/>
    <n v="4"/>
    <n v="5"/>
    <x v="1"/>
  </r>
  <r>
    <x v="134"/>
    <s v="11/07/2025"/>
    <x v="2"/>
    <x v="15"/>
    <x v="0"/>
    <x v="0"/>
    <x v="0"/>
    <x v="1"/>
    <n v="8652"/>
    <n v="6"/>
    <n v="4.0999999999999996"/>
    <n v="1"/>
    <x v="4"/>
  </r>
  <r>
    <x v="135"/>
    <s v="18/03/2025"/>
    <x v="6"/>
    <x v="11"/>
    <x v="3"/>
    <x v="2"/>
    <x v="1"/>
    <x v="1"/>
    <n v="11757"/>
    <n v="3"/>
    <n v="4.5"/>
    <n v="5"/>
    <x v="6"/>
  </r>
  <r>
    <x v="136"/>
    <s v="08/07/2025"/>
    <x v="4"/>
    <x v="3"/>
    <x v="3"/>
    <x v="3"/>
    <x v="3"/>
    <x v="0"/>
    <n v="32886"/>
    <n v="6"/>
    <n v="4.5999999999999996"/>
    <n v="1"/>
    <x v="4"/>
  </r>
  <r>
    <x v="137"/>
    <s v="29/03/2025"/>
    <x v="18"/>
    <x v="15"/>
    <x v="0"/>
    <x v="3"/>
    <x v="0"/>
    <x v="3"/>
    <n v="4214"/>
    <n v="7"/>
    <n v="3.5"/>
    <n v="8"/>
    <x v="6"/>
  </r>
  <r>
    <x v="138"/>
    <s v="14/09/2025"/>
    <x v="12"/>
    <x v="5"/>
    <x v="4"/>
    <x v="3"/>
    <x v="3"/>
    <x v="0"/>
    <n v="4040"/>
    <n v="8"/>
    <n v="4.2"/>
    <n v="8"/>
    <x v="5"/>
  </r>
  <r>
    <x v="139"/>
    <s v="07/10/2025"/>
    <x v="10"/>
    <x v="4"/>
    <x v="3"/>
    <x v="2"/>
    <x v="0"/>
    <x v="1"/>
    <n v="27996"/>
    <n v="6"/>
    <n v="4.9000000000000004"/>
    <n v="5"/>
    <x v="1"/>
  </r>
  <r>
    <x v="140"/>
    <s v="20/12/2025"/>
    <x v="5"/>
    <x v="2"/>
    <x v="2"/>
    <x v="2"/>
    <x v="0"/>
    <x v="1"/>
    <n v="385744"/>
    <n v="8"/>
    <n v="3.7"/>
    <n v="7"/>
    <x v="8"/>
  </r>
  <r>
    <x v="141"/>
    <s v="10/02/2025"/>
    <x v="10"/>
    <x v="20"/>
    <x v="0"/>
    <x v="1"/>
    <x v="3"/>
    <x v="0"/>
    <n v="7230"/>
    <n v="6"/>
    <n v="4.7"/>
    <n v="5"/>
    <x v="7"/>
  </r>
  <r>
    <x v="142"/>
    <s v="05/05/2025"/>
    <x v="18"/>
    <x v="10"/>
    <x v="0"/>
    <x v="1"/>
    <x v="1"/>
    <x v="2"/>
    <n v="1671"/>
    <n v="1"/>
    <n v="3.3"/>
    <n v="7"/>
    <x v="0"/>
  </r>
  <r>
    <x v="143"/>
    <s v="09/10/2025"/>
    <x v="9"/>
    <x v="17"/>
    <x v="4"/>
    <x v="1"/>
    <x v="0"/>
    <x v="2"/>
    <n v="6594"/>
    <n v="3"/>
    <n v="3.8"/>
    <n v="1"/>
    <x v="1"/>
  </r>
  <r>
    <x v="144"/>
    <s v="01/04/2025"/>
    <x v="18"/>
    <x v="5"/>
    <x v="4"/>
    <x v="2"/>
    <x v="1"/>
    <x v="3"/>
    <n v="2279"/>
    <n v="1"/>
    <n v="3.2"/>
    <n v="2"/>
    <x v="2"/>
  </r>
  <r>
    <x v="145"/>
    <s v="20/05/2025"/>
    <x v="0"/>
    <x v="5"/>
    <x v="4"/>
    <x v="1"/>
    <x v="3"/>
    <x v="1"/>
    <n v="6416"/>
    <n v="4"/>
    <n v="3.7"/>
    <n v="3"/>
    <x v="0"/>
  </r>
  <r>
    <x v="146"/>
    <s v="31/03/2025"/>
    <x v="8"/>
    <x v="9"/>
    <x v="1"/>
    <x v="3"/>
    <x v="3"/>
    <x v="0"/>
    <n v="51569"/>
    <n v="7"/>
    <n v="4.4000000000000004"/>
    <n v="3"/>
    <x v="6"/>
  </r>
  <r>
    <x v="147"/>
    <s v="16/07/2025"/>
    <x v="11"/>
    <x v="20"/>
    <x v="0"/>
    <x v="1"/>
    <x v="3"/>
    <x v="0"/>
    <n v="4856"/>
    <n v="4"/>
    <n v="4.5"/>
    <n v="1"/>
    <x v="4"/>
  </r>
  <r>
    <x v="148"/>
    <s v="27/08/2025"/>
    <x v="15"/>
    <x v="0"/>
    <x v="0"/>
    <x v="5"/>
    <x v="0"/>
    <x v="0"/>
    <n v="3135"/>
    <n v="5"/>
    <n v="4.3"/>
    <n v="5"/>
    <x v="3"/>
  </r>
  <r>
    <x v="149"/>
    <s v="20/03/2025"/>
    <x v="13"/>
    <x v="5"/>
    <x v="4"/>
    <x v="1"/>
    <x v="2"/>
    <x v="3"/>
    <n v="14240"/>
    <n v="8"/>
    <n v="4.5999999999999996"/>
    <n v="4"/>
    <x v="6"/>
  </r>
  <r>
    <x v="150"/>
    <s v="09/02/2025"/>
    <x v="18"/>
    <x v="6"/>
    <x v="1"/>
    <x v="5"/>
    <x v="1"/>
    <x v="2"/>
    <n v="20366"/>
    <n v="2"/>
    <n v="4.2"/>
    <n v="3"/>
    <x v="7"/>
  </r>
  <r>
    <x v="151"/>
    <s v="16/02/2025"/>
    <x v="10"/>
    <x v="5"/>
    <x v="4"/>
    <x v="3"/>
    <x v="3"/>
    <x v="2"/>
    <n v="16856"/>
    <n v="8"/>
    <n v="4"/>
    <n v="1"/>
    <x v="7"/>
  </r>
  <r>
    <x v="152"/>
    <s v="02/01/2025"/>
    <x v="9"/>
    <x v="4"/>
    <x v="3"/>
    <x v="3"/>
    <x v="2"/>
    <x v="1"/>
    <n v="16680"/>
    <n v="4"/>
    <n v="4.5"/>
    <n v="1"/>
    <x v="10"/>
  </r>
  <r>
    <x v="153"/>
    <s v="11/03/2025"/>
    <x v="15"/>
    <x v="18"/>
    <x v="3"/>
    <x v="0"/>
    <x v="0"/>
    <x v="3"/>
    <n v="26544"/>
    <n v="7"/>
    <n v="3.3"/>
    <n v="3"/>
    <x v="6"/>
  </r>
  <r>
    <x v="154"/>
    <s v="25/04/2025"/>
    <x v="13"/>
    <x v="9"/>
    <x v="1"/>
    <x v="3"/>
    <x v="3"/>
    <x v="0"/>
    <n v="7748"/>
    <n v="1"/>
    <n v="4.2"/>
    <n v="4"/>
    <x v="2"/>
  </r>
  <r>
    <x v="155"/>
    <s v="27/02/2025"/>
    <x v="4"/>
    <x v="2"/>
    <x v="2"/>
    <x v="0"/>
    <x v="1"/>
    <x v="2"/>
    <n v="83099"/>
    <n v="1"/>
    <n v="3.6"/>
    <n v="2"/>
    <x v="7"/>
  </r>
  <r>
    <x v="156"/>
    <s v="25/07/2025"/>
    <x v="13"/>
    <x v="17"/>
    <x v="4"/>
    <x v="1"/>
    <x v="3"/>
    <x v="1"/>
    <n v="19680"/>
    <n v="8"/>
    <n v="4.0999999999999996"/>
    <n v="5"/>
    <x v="4"/>
  </r>
  <r>
    <x v="157"/>
    <s v="15/03/2025"/>
    <x v="16"/>
    <x v="13"/>
    <x v="4"/>
    <x v="5"/>
    <x v="1"/>
    <x v="2"/>
    <n v="5920"/>
    <n v="4"/>
    <n v="4.9000000000000004"/>
    <n v="3"/>
    <x v="6"/>
  </r>
  <r>
    <x v="158"/>
    <s v="26/09/2025"/>
    <x v="13"/>
    <x v="12"/>
    <x v="2"/>
    <x v="4"/>
    <x v="3"/>
    <x v="0"/>
    <n v="336066"/>
    <n v="6"/>
    <n v="3.9"/>
    <n v="8"/>
    <x v="5"/>
  </r>
  <r>
    <x v="159"/>
    <s v="15/10/2025"/>
    <x v="9"/>
    <x v="3"/>
    <x v="3"/>
    <x v="3"/>
    <x v="3"/>
    <x v="2"/>
    <n v="27167"/>
    <n v="7"/>
    <n v="3.7"/>
    <n v="6"/>
    <x v="1"/>
  </r>
  <r>
    <x v="160"/>
    <s v="27/01/2025"/>
    <x v="14"/>
    <x v="9"/>
    <x v="1"/>
    <x v="4"/>
    <x v="3"/>
    <x v="1"/>
    <n v="52130"/>
    <n v="5"/>
    <n v="4.5"/>
    <n v="4"/>
    <x v="10"/>
  </r>
  <r>
    <x v="161"/>
    <s v="08/04/2025"/>
    <x v="3"/>
    <x v="10"/>
    <x v="0"/>
    <x v="3"/>
    <x v="1"/>
    <x v="1"/>
    <n v="2560"/>
    <n v="2"/>
    <n v="4.8"/>
    <n v="6"/>
    <x v="2"/>
  </r>
  <r>
    <x v="162"/>
    <s v="04/07/2025"/>
    <x v="2"/>
    <x v="16"/>
    <x v="2"/>
    <x v="5"/>
    <x v="0"/>
    <x v="0"/>
    <n v="512296"/>
    <n v="8"/>
    <n v="3.9"/>
    <n v="7"/>
    <x v="4"/>
  </r>
  <r>
    <x v="163"/>
    <s v="11/10/2025"/>
    <x v="14"/>
    <x v="20"/>
    <x v="0"/>
    <x v="5"/>
    <x v="3"/>
    <x v="1"/>
    <n v="6328"/>
    <n v="7"/>
    <n v="3.9"/>
    <n v="4"/>
    <x v="1"/>
  </r>
  <r>
    <x v="164"/>
    <s v="24/08/2025"/>
    <x v="12"/>
    <x v="11"/>
    <x v="3"/>
    <x v="0"/>
    <x v="2"/>
    <x v="2"/>
    <n v="5538"/>
    <n v="3"/>
    <n v="4.0999999999999996"/>
    <n v="1"/>
    <x v="3"/>
  </r>
  <r>
    <x v="165"/>
    <s v="12/03/2025"/>
    <x v="4"/>
    <x v="15"/>
    <x v="0"/>
    <x v="1"/>
    <x v="1"/>
    <x v="3"/>
    <n v="1756"/>
    <n v="4"/>
    <n v="4"/>
    <n v="1"/>
    <x v="6"/>
  </r>
  <r>
    <x v="166"/>
    <s v="30/09/2025"/>
    <x v="12"/>
    <x v="0"/>
    <x v="0"/>
    <x v="1"/>
    <x v="1"/>
    <x v="0"/>
    <n v="2268"/>
    <n v="7"/>
    <n v="5"/>
    <n v="1"/>
    <x v="5"/>
  </r>
  <r>
    <x v="167"/>
    <s v="26/09/2025"/>
    <x v="5"/>
    <x v="0"/>
    <x v="0"/>
    <x v="0"/>
    <x v="3"/>
    <x v="3"/>
    <n v="2379"/>
    <n v="3"/>
    <n v="4.7"/>
    <n v="5"/>
    <x v="5"/>
  </r>
  <r>
    <x v="168"/>
    <s v="23/12/2025"/>
    <x v="2"/>
    <x v="18"/>
    <x v="3"/>
    <x v="1"/>
    <x v="2"/>
    <x v="0"/>
    <n v="5860"/>
    <n v="4"/>
    <n v="3.9"/>
    <n v="8"/>
    <x v="8"/>
  </r>
  <r>
    <x v="169"/>
    <s v="11/08/2025"/>
    <x v="11"/>
    <x v="15"/>
    <x v="0"/>
    <x v="0"/>
    <x v="2"/>
    <x v="1"/>
    <n v="8748"/>
    <n v="6"/>
    <n v="3.6"/>
    <n v="8"/>
    <x v="3"/>
  </r>
  <r>
    <x v="170"/>
    <s v="02/04/2025"/>
    <x v="1"/>
    <x v="1"/>
    <x v="1"/>
    <x v="5"/>
    <x v="0"/>
    <x v="3"/>
    <n v="43950"/>
    <n v="6"/>
    <n v="4.9000000000000004"/>
    <n v="5"/>
    <x v="2"/>
  </r>
  <r>
    <x v="171"/>
    <s v="16/07/2025"/>
    <x v="9"/>
    <x v="6"/>
    <x v="1"/>
    <x v="2"/>
    <x v="1"/>
    <x v="1"/>
    <n v="5037"/>
    <n v="3"/>
    <n v="3.4"/>
    <n v="4"/>
    <x v="4"/>
  </r>
  <r>
    <x v="172"/>
    <s v="19/08/2025"/>
    <x v="9"/>
    <x v="20"/>
    <x v="0"/>
    <x v="5"/>
    <x v="3"/>
    <x v="0"/>
    <n v="6136"/>
    <n v="8"/>
    <n v="3.5"/>
    <n v="7"/>
    <x v="3"/>
  </r>
  <r>
    <x v="173"/>
    <s v="18/05/2025"/>
    <x v="3"/>
    <x v="0"/>
    <x v="0"/>
    <x v="3"/>
    <x v="3"/>
    <x v="1"/>
    <n v="3234"/>
    <n v="3"/>
    <n v="3.4"/>
    <n v="1"/>
    <x v="0"/>
  </r>
  <r>
    <x v="174"/>
    <s v="14/02/2025"/>
    <x v="9"/>
    <x v="10"/>
    <x v="0"/>
    <x v="2"/>
    <x v="2"/>
    <x v="1"/>
    <n v="3546"/>
    <n v="3"/>
    <n v="3.9"/>
    <n v="1"/>
    <x v="7"/>
  </r>
  <r>
    <x v="175"/>
    <s v="30/05/2025"/>
    <x v="1"/>
    <x v="3"/>
    <x v="3"/>
    <x v="4"/>
    <x v="3"/>
    <x v="1"/>
    <n v="18816"/>
    <n v="7"/>
    <n v="4.0999999999999996"/>
    <n v="7"/>
    <x v="0"/>
  </r>
  <r>
    <x v="176"/>
    <s v="16/03/2025"/>
    <x v="15"/>
    <x v="12"/>
    <x v="2"/>
    <x v="2"/>
    <x v="0"/>
    <x v="3"/>
    <n v="77340"/>
    <n v="2"/>
    <n v="4.0999999999999996"/>
    <n v="2"/>
    <x v="6"/>
  </r>
  <r>
    <x v="177"/>
    <s v="23/08/2025"/>
    <x v="18"/>
    <x v="9"/>
    <x v="1"/>
    <x v="3"/>
    <x v="3"/>
    <x v="3"/>
    <n v="12486"/>
    <n v="2"/>
    <n v="4.7"/>
    <n v="7"/>
    <x v="3"/>
  </r>
  <r>
    <x v="178"/>
    <s v="03/06/2025"/>
    <x v="3"/>
    <x v="9"/>
    <x v="1"/>
    <x v="1"/>
    <x v="1"/>
    <x v="0"/>
    <n v="22260"/>
    <n v="6"/>
    <n v="4.9000000000000004"/>
    <n v="6"/>
    <x v="9"/>
  </r>
  <r>
    <x v="179"/>
    <s v="24/05/2025"/>
    <x v="10"/>
    <x v="12"/>
    <x v="2"/>
    <x v="0"/>
    <x v="1"/>
    <x v="0"/>
    <n v="534835"/>
    <n v="7"/>
    <n v="5"/>
    <n v="3"/>
    <x v="0"/>
  </r>
  <r>
    <x v="180"/>
    <s v="21/12/2025"/>
    <x v="16"/>
    <x v="4"/>
    <x v="3"/>
    <x v="3"/>
    <x v="2"/>
    <x v="3"/>
    <n v="11776"/>
    <n v="2"/>
    <n v="3.6"/>
    <n v="3"/>
    <x v="8"/>
  </r>
  <r>
    <x v="181"/>
    <s v="26/10/2025"/>
    <x v="10"/>
    <x v="8"/>
    <x v="1"/>
    <x v="5"/>
    <x v="2"/>
    <x v="2"/>
    <n v="9814"/>
    <n v="7"/>
    <n v="4.5999999999999996"/>
    <n v="6"/>
    <x v="1"/>
  </r>
  <r>
    <x v="182"/>
    <s v="27/03/2025"/>
    <x v="13"/>
    <x v="13"/>
    <x v="4"/>
    <x v="5"/>
    <x v="0"/>
    <x v="3"/>
    <n v="1886"/>
    <n v="1"/>
    <n v="3.2"/>
    <n v="5"/>
    <x v="6"/>
  </r>
  <r>
    <x v="183"/>
    <s v="26/08/2025"/>
    <x v="7"/>
    <x v="12"/>
    <x v="2"/>
    <x v="1"/>
    <x v="0"/>
    <x v="1"/>
    <n v="197331"/>
    <n v="3"/>
    <n v="3.9"/>
    <n v="2"/>
    <x v="3"/>
  </r>
  <r>
    <x v="184"/>
    <s v="22/08/2025"/>
    <x v="18"/>
    <x v="16"/>
    <x v="2"/>
    <x v="0"/>
    <x v="3"/>
    <x v="2"/>
    <n v="192608"/>
    <n v="4"/>
    <n v="4"/>
    <n v="8"/>
    <x v="3"/>
  </r>
  <r>
    <x v="185"/>
    <s v="25/06/2025"/>
    <x v="10"/>
    <x v="0"/>
    <x v="0"/>
    <x v="3"/>
    <x v="1"/>
    <x v="0"/>
    <n v="3372"/>
    <n v="2"/>
    <n v="4.2"/>
    <n v="6"/>
    <x v="9"/>
  </r>
  <r>
    <x v="186"/>
    <s v="06/04/2025"/>
    <x v="0"/>
    <x v="18"/>
    <x v="3"/>
    <x v="1"/>
    <x v="0"/>
    <x v="0"/>
    <n v="16212"/>
    <n v="7"/>
    <n v="4.3"/>
    <n v="7"/>
    <x v="2"/>
  </r>
  <r>
    <x v="187"/>
    <s v="23/10/2025"/>
    <x v="14"/>
    <x v="14"/>
    <x v="2"/>
    <x v="5"/>
    <x v="3"/>
    <x v="3"/>
    <n v="100890"/>
    <n v="2"/>
    <n v="4"/>
    <n v="5"/>
    <x v="1"/>
  </r>
  <r>
    <x v="188"/>
    <s v="28/10/2025"/>
    <x v="4"/>
    <x v="8"/>
    <x v="1"/>
    <x v="5"/>
    <x v="2"/>
    <x v="0"/>
    <n v="7252"/>
    <n v="2"/>
    <n v="4.7"/>
    <n v="5"/>
    <x v="1"/>
  </r>
  <r>
    <x v="189"/>
    <s v="03/05/2025"/>
    <x v="6"/>
    <x v="14"/>
    <x v="2"/>
    <x v="3"/>
    <x v="1"/>
    <x v="0"/>
    <n v="257145"/>
    <n v="5"/>
    <n v="3.9"/>
    <n v="3"/>
    <x v="0"/>
  </r>
  <r>
    <x v="190"/>
    <s v="12/10/2025"/>
    <x v="15"/>
    <x v="18"/>
    <x v="3"/>
    <x v="0"/>
    <x v="1"/>
    <x v="0"/>
    <n v="6696"/>
    <n v="3"/>
    <n v="4.7"/>
    <n v="1"/>
    <x v="1"/>
  </r>
  <r>
    <x v="191"/>
    <s v="15/10/2025"/>
    <x v="13"/>
    <x v="5"/>
    <x v="4"/>
    <x v="2"/>
    <x v="2"/>
    <x v="1"/>
    <n v="18112"/>
    <n v="8"/>
    <n v="3.5"/>
    <n v="1"/>
    <x v="1"/>
  </r>
  <r>
    <x v="192"/>
    <s v="28/03/2025"/>
    <x v="10"/>
    <x v="13"/>
    <x v="4"/>
    <x v="2"/>
    <x v="2"/>
    <x v="3"/>
    <n v="18224"/>
    <n v="8"/>
    <n v="4.2"/>
    <n v="5"/>
    <x v="6"/>
  </r>
  <r>
    <x v="193"/>
    <s v="06/08/2025"/>
    <x v="17"/>
    <x v="9"/>
    <x v="1"/>
    <x v="0"/>
    <x v="0"/>
    <x v="0"/>
    <n v="16336"/>
    <n v="2"/>
    <n v="3.7"/>
    <n v="2"/>
    <x v="3"/>
  </r>
  <r>
    <x v="194"/>
    <s v="30/12/2025"/>
    <x v="4"/>
    <x v="6"/>
    <x v="1"/>
    <x v="5"/>
    <x v="0"/>
    <x v="1"/>
    <n v="12404"/>
    <n v="7"/>
    <n v="4.2"/>
    <n v="5"/>
    <x v="8"/>
  </r>
  <r>
    <x v="195"/>
    <s v="21/10/2025"/>
    <x v="8"/>
    <x v="16"/>
    <x v="2"/>
    <x v="4"/>
    <x v="0"/>
    <x v="1"/>
    <n v="101355"/>
    <n v="5"/>
    <n v="5"/>
    <n v="3"/>
    <x v="1"/>
  </r>
  <r>
    <x v="196"/>
    <s v="08/09/2025"/>
    <x v="5"/>
    <x v="5"/>
    <x v="4"/>
    <x v="5"/>
    <x v="3"/>
    <x v="1"/>
    <n v="4050"/>
    <n v="3"/>
    <n v="4"/>
    <n v="2"/>
    <x v="5"/>
  </r>
  <r>
    <x v="197"/>
    <s v="17/06/2025"/>
    <x v="10"/>
    <x v="11"/>
    <x v="3"/>
    <x v="3"/>
    <x v="0"/>
    <x v="3"/>
    <n v="5900"/>
    <n v="1"/>
    <n v="4.5"/>
    <n v="2"/>
    <x v="9"/>
  </r>
  <r>
    <x v="198"/>
    <s v="18/05/2025"/>
    <x v="18"/>
    <x v="5"/>
    <x v="4"/>
    <x v="1"/>
    <x v="2"/>
    <x v="2"/>
    <n v="9798"/>
    <n v="6"/>
    <n v="4.2"/>
    <n v="8"/>
    <x v="0"/>
  </r>
  <r>
    <x v="199"/>
    <s v="09/01/2025"/>
    <x v="3"/>
    <x v="15"/>
    <x v="0"/>
    <x v="4"/>
    <x v="3"/>
    <x v="2"/>
    <n v="1246"/>
    <n v="2"/>
    <n v="3.6"/>
    <n v="3"/>
    <x v="10"/>
  </r>
  <r>
    <x v="200"/>
    <s v="12/02/2025"/>
    <x v="16"/>
    <x v="16"/>
    <x v="2"/>
    <x v="1"/>
    <x v="2"/>
    <x v="2"/>
    <n v="55722"/>
    <n v="6"/>
    <n v="3.7"/>
    <n v="4"/>
    <x v="7"/>
  </r>
  <r>
    <x v="201"/>
    <s v="02/09/2025"/>
    <x v="7"/>
    <x v="10"/>
    <x v="0"/>
    <x v="3"/>
    <x v="0"/>
    <x v="3"/>
    <n v="1142"/>
    <n v="2"/>
    <n v="3.2"/>
    <n v="6"/>
    <x v="5"/>
  </r>
  <r>
    <x v="202"/>
    <s v="16/07/2025"/>
    <x v="5"/>
    <x v="10"/>
    <x v="0"/>
    <x v="4"/>
    <x v="0"/>
    <x v="2"/>
    <n v="3592"/>
    <n v="2"/>
    <n v="4.8"/>
    <n v="3"/>
    <x v="4"/>
  </r>
  <r>
    <x v="203"/>
    <s v="09/11/2025"/>
    <x v="19"/>
    <x v="1"/>
    <x v="1"/>
    <x v="0"/>
    <x v="2"/>
    <x v="0"/>
    <n v="9840"/>
    <n v="3"/>
    <n v="4.9000000000000004"/>
    <n v="8"/>
    <x v="11"/>
  </r>
  <r>
    <x v="204"/>
    <s v="29/06/2025"/>
    <x v="0"/>
    <x v="15"/>
    <x v="0"/>
    <x v="1"/>
    <x v="3"/>
    <x v="0"/>
    <n v="6608"/>
    <n v="7"/>
    <n v="3.4"/>
    <n v="5"/>
    <x v="9"/>
  </r>
  <r>
    <x v="205"/>
    <s v="20/07/2025"/>
    <x v="4"/>
    <x v="9"/>
    <x v="1"/>
    <x v="0"/>
    <x v="2"/>
    <x v="1"/>
    <n v="35610"/>
    <n v="5"/>
    <n v="3.4"/>
    <n v="8"/>
    <x v="4"/>
  </r>
  <r>
    <x v="206"/>
    <s v="18/07/2025"/>
    <x v="0"/>
    <x v="2"/>
    <x v="2"/>
    <x v="2"/>
    <x v="0"/>
    <x v="2"/>
    <n v="176015"/>
    <n v="7"/>
    <n v="3.2"/>
    <n v="2"/>
    <x v="4"/>
  </r>
  <r>
    <x v="207"/>
    <s v="17/09/2025"/>
    <x v="11"/>
    <x v="15"/>
    <x v="0"/>
    <x v="0"/>
    <x v="3"/>
    <x v="2"/>
    <n v="7935"/>
    <n v="5"/>
    <n v="3.3"/>
    <n v="3"/>
    <x v="5"/>
  </r>
  <r>
    <x v="208"/>
    <s v="21/03/2025"/>
    <x v="16"/>
    <x v="9"/>
    <x v="1"/>
    <x v="0"/>
    <x v="1"/>
    <x v="2"/>
    <n v="28254"/>
    <n v="6"/>
    <n v="3.3"/>
    <n v="2"/>
    <x v="6"/>
  </r>
  <r>
    <x v="209"/>
    <s v="03/03/2025"/>
    <x v="1"/>
    <x v="2"/>
    <x v="2"/>
    <x v="2"/>
    <x v="0"/>
    <x v="1"/>
    <n v="3987"/>
    <n v="1"/>
    <n v="4.9000000000000004"/>
    <n v="5"/>
    <x v="6"/>
  </r>
  <r>
    <x v="210"/>
    <s v="21/06/2025"/>
    <x v="17"/>
    <x v="0"/>
    <x v="0"/>
    <x v="5"/>
    <x v="3"/>
    <x v="2"/>
    <n v="5999"/>
    <n v="7"/>
    <n v="4.3"/>
    <n v="8"/>
    <x v="9"/>
  </r>
  <r>
    <x v="211"/>
    <s v="08/07/2025"/>
    <x v="2"/>
    <x v="18"/>
    <x v="3"/>
    <x v="0"/>
    <x v="0"/>
    <x v="2"/>
    <n v="4932"/>
    <n v="3"/>
    <n v="4.5"/>
    <n v="1"/>
    <x v="4"/>
  </r>
  <r>
    <x v="212"/>
    <s v="16/07/2025"/>
    <x v="18"/>
    <x v="4"/>
    <x v="3"/>
    <x v="2"/>
    <x v="2"/>
    <x v="1"/>
    <n v="12405"/>
    <n v="3"/>
    <n v="3.8"/>
    <n v="7"/>
    <x v="4"/>
  </r>
  <r>
    <x v="213"/>
    <s v="02/04/2025"/>
    <x v="18"/>
    <x v="0"/>
    <x v="0"/>
    <x v="0"/>
    <x v="1"/>
    <x v="2"/>
    <n v="5424"/>
    <n v="4"/>
    <n v="4.8"/>
    <n v="5"/>
    <x v="2"/>
  </r>
  <r>
    <x v="214"/>
    <s v="30/05/2025"/>
    <x v="10"/>
    <x v="2"/>
    <x v="2"/>
    <x v="4"/>
    <x v="0"/>
    <x v="2"/>
    <n v="316535"/>
    <n v="5"/>
    <n v="4.9000000000000004"/>
    <n v="4"/>
    <x v="0"/>
  </r>
  <r>
    <x v="215"/>
    <s v="30/04/2025"/>
    <x v="7"/>
    <x v="3"/>
    <x v="3"/>
    <x v="4"/>
    <x v="0"/>
    <x v="3"/>
    <n v="4266"/>
    <n v="6"/>
    <n v="3.9"/>
    <n v="5"/>
    <x v="2"/>
  </r>
  <r>
    <x v="216"/>
    <s v="14/03/2025"/>
    <x v="17"/>
    <x v="3"/>
    <x v="3"/>
    <x v="1"/>
    <x v="2"/>
    <x v="2"/>
    <n v="24785"/>
    <n v="5"/>
    <n v="4.5"/>
    <n v="6"/>
    <x v="6"/>
  </r>
  <r>
    <x v="217"/>
    <s v="23/11/2025"/>
    <x v="5"/>
    <x v="9"/>
    <x v="1"/>
    <x v="1"/>
    <x v="3"/>
    <x v="1"/>
    <n v="32753"/>
    <n v="7"/>
    <n v="3.7"/>
    <n v="6"/>
    <x v="11"/>
  </r>
  <r>
    <x v="218"/>
    <s v="30/04/2025"/>
    <x v="17"/>
    <x v="4"/>
    <x v="3"/>
    <x v="2"/>
    <x v="1"/>
    <x v="2"/>
    <n v="3184"/>
    <n v="2"/>
    <n v="3.4"/>
    <n v="8"/>
    <x v="2"/>
  </r>
  <r>
    <x v="219"/>
    <s v="17/04/2025"/>
    <x v="4"/>
    <x v="6"/>
    <x v="1"/>
    <x v="0"/>
    <x v="0"/>
    <x v="1"/>
    <n v="18248"/>
    <n v="8"/>
    <n v="3.5"/>
    <n v="5"/>
    <x v="2"/>
  </r>
  <r>
    <x v="220"/>
    <s v="31/12/2025"/>
    <x v="0"/>
    <x v="17"/>
    <x v="4"/>
    <x v="3"/>
    <x v="1"/>
    <x v="0"/>
    <n v="7492"/>
    <n v="4"/>
    <n v="3.7"/>
    <n v="3"/>
    <x v="8"/>
  </r>
  <r>
    <x v="221"/>
    <s v="22/02/2025"/>
    <x v="15"/>
    <x v="15"/>
    <x v="0"/>
    <x v="1"/>
    <x v="2"/>
    <x v="1"/>
    <n v="1644"/>
    <n v="3"/>
    <n v="3.6"/>
    <n v="7"/>
    <x v="7"/>
  </r>
  <r>
    <x v="222"/>
    <s v="03/02/2025"/>
    <x v="2"/>
    <x v="0"/>
    <x v="0"/>
    <x v="4"/>
    <x v="1"/>
    <x v="3"/>
    <n v="6488"/>
    <n v="4"/>
    <n v="3.4"/>
    <n v="8"/>
    <x v="7"/>
  </r>
  <r>
    <x v="223"/>
    <s v="15/07/2025"/>
    <x v="2"/>
    <x v="3"/>
    <x v="3"/>
    <x v="5"/>
    <x v="0"/>
    <x v="1"/>
    <n v="15631"/>
    <n v="7"/>
    <n v="3.7"/>
    <n v="3"/>
    <x v="4"/>
  </r>
  <r>
    <x v="224"/>
    <s v="09/10/2025"/>
    <x v="10"/>
    <x v="11"/>
    <x v="3"/>
    <x v="0"/>
    <x v="1"/>
    <x v="1"/>
    <n v="30696"/>
    <n v="8"/>
    <n v="4"/>
    <n v="4"/>
    <x v="1"/>
  </r>
  <r>
    <x v="225"/>
    <s v="26/06/2025"/>
    <x v="11"/>
    <x v="11"/>
    <x v="3"/>
    <x v="0"/>
    <x v="1"/>
    <x v="1"/>
    <n v="5478"/>
    <n v="6"/>
    <n v="4.3"/>
    <n v="1"/>
    <x v="9"/>
  </r>
  <r>
    <x v="226"/>
    <s v="23/03/2025"/>
    <x v="6"/>
    <x v="9"/>
    <x v="1"/>
    <x v="3"/>
    <x v="3"/>
    <x v="0"/>
    <n v="3432"/>
    <n v="2"/>
    <n v="4.5999999999999996"/>
    <n v="4"/>
    <x v="6"/>
  </r>
  <r>
    <x v="227"/>
    <s v="31/10/2025"/>
    <x v="6"/>
    <x v="7"/>
    <x v="4"/>
    <x v="4"/>
    <x v="1"/>
    <x v="1"/>
    <n v="10314"/>
    <n v="6"/>
    <n v="4.9000000000000004"/>
    <n v="3"/>
    <x v="1"/>
  </r>
  <r>
    <x v="228"/>
    <s v="20/01/2025"/>
    <x v="18"/>
    <x v="5"/>
    <x v="4"/>
    <x v="5"/>
    <x v="0"/>
    <x v="0"/>
    <n v="2404"/>
    <n v="2"/>
    <n v="4.0999999999999996"/>
    <n v="1"/>
    <x v="10"/>
  </r>
  <r>
    <x v="229"/>
    <s v="15/06/2025"/>
    <x v="9"/>
    <x v="2"/>
    <x v="2"/>
    <x v="2"/>
    <x v="1"/>
    <x v="2"/>
    <n v="79388"/>
    <n v="1"/>
    <n v="4.7"/>
    <n v="6"/>
    <x v="9"/>
  </r>
  <r>
    <x v="230"/>
    <s v="15/06/2025"/>
    <x v="13"/>
    <x v="16"/>
    <x v="2"/>
    <x v="1"/>
    <x v="0"/>
    <x v="3"/>
    <n v="199074"/>
    <n v="3"/>
    <n v="4.5"/>
    <n v="6"/>
    <x v="9"/>
  </r>
  <r>
    <x v="231"/>
    <s v="07/03/2025"/>
    <x v="4"/>
    <x v="16"/>
    <x v="2"/>
    <x v="4"/>
    <x v="2"/>
    <x v="3"/>
    <n v="232746"/>
    <n v="3"/>
    <n v="3.3"/>
    <n v="6"/>
    <x v="6"/>
  </r>
  <r>
    <x v="232"/>
    <s v="09/02/2025"/>
    <x v="17"/>
    <x v="13"/>
    <x v="4"/>
    <x v="0"/>
    <x v="3"/>
    <x v="0"/>
    <n v="6232"/>
    <n v="4"/>
    <n v="4.7"/>
    <n v="6"/>
    <x v="7"/>
  </r>
  <r>
    <x v="233"/>
    <s v="29/06/2025"/>
    <x v="16"/>
    <x v="17"/>
    <x v="4"/>
    <x v="3"/>
    <x v="1"/>
    <x v="1"/>
    <n v="1275"/>
    <n v="5"/>
    <n v="4.5"/>
    <n v="3"/>
    <x v="9"/>
  </r>
  <r>
    <x v="234"/>
    <s v="21/02/2025"/>
    <x v="3"/>
    <x v="8"/>
    <x v="1"/>
    <x v="0"/>
    <x v="3"/>
    <x v="1"/>
    <n v="16056"/>
    <n v="8"/>
    <n v="4.5999999999999996"/>
    <n v="1"/>
    <x v="7"/>
  </r>
  <r>
    <x v="235"/>
    <s v="25/06/2025"/>
    <x v="0"/>
    <x v="0"/>
    <x v="0"/>
    <x v="3"/>
    <x v="0"/>
    <x v="3"/>
    <n v="3204"/>
    <n v="3"/>
    <n v="3.8"/>
    <n v="8"/>
    <x v="9"/>
  </r>
  <r>
    <x v="236"/>
    <s v="21/02/2025"/>
    <x v="3"/>
    <x v="17"/>
    <x v="4"/>
    <x v="4"/>
    <x v="2"/>
    <x v="2"/>
    <n v="6168"/>
    <n v="6"/>
    <n v="3.7"/>
    <n v="5"/>
    <x v="7"/>
  </r>
  <r>
    <x v="237"/>
    <s v="20/03/2025"/>
    <x v="19"/>
    <x v="11"/>
    <x v="3"/>
    <x v="0"/>
    <x v="2"/>
    <x v="0"/>
    <n v="1417"/>
    <n v="1"/>
    <n v="4.7"/>
    <n v="8"/>
    <x v="6"/>
  </r>
  <r>
    <x v="238"/>
    <s v="11/02/2025"/>
    <x v="9"/>
    <x v="13"/>
    <x v="4"/>
    <x v="1"/>
    <x v="1"/>
    <x v="0"/>
    <n v="12104"/>
    <n v="8"/>
    <n v="4.8"/>
    <n v="5"/>
    <x v="7"/>
  </r>
  <r>
    <x v="239"/>
    <s v="09/07/2025"/>
    <x v="6"/>
    <x v="12"/>
    <x v="2"/>
    <x v="0"/>
    <x v="0"/>
    <x v="2"/>
    <n v="111030"/>
    <n v="3"/>
    <n v="3.7"/>
    <n v="5"/>
    <x v="4"/>
  </r>
  <r>
    <x v="240"/>
    <s v="05/10/2025"/>
    <x v="10"/>
    <x v="20"/>
    <x v="0"/>
    <x v="1"/>
    <x v="1"/>
    <x v="0"/>
    <n v="10549"/>
    <n v="7"/>
    <n v="4.7"/>
    <n v="7"/>
    <x v="1"/>
  </r>
  <r>
    <x v="241"/>
    <s v="10/02/2025"/>
    <x v="7"/>
    <x v="4"/>
    <x v="3"/>
    <x v="3"/>
    <x v="0"/>
    <x v="0"/>
    <n v="37653"/>
    <n v="7"/>
    <n v="4.5999999999999996"/>
    <n v="3"/>
    <x v="7"/>
  </r>
  <r>
    <x v="242"/>
    <s v="06/03/2025"/>
    <x v="18"/>
    <x v="7"/>
    <x v="4"/>
    <x v="1"/>
    <x v="2"/>
    <x v="2"/>
    <n v="570"/>
    <n v="1"/>
    <n v="3.5"/>
    <n v="5"/>
    <x v="6"/>
  </r>
  <r>
    <x v="243"/>
    <s v="10/10/2025"/>
    <x v="7"/>
    <x v="11"/>
    <x v="3"/>
    <x v="3"/>
    <x v="0"/>
    <x v="0"/>
    <n v="4806"/>
    <n v="6"/>
    <n v="4.3"/>
    <n v="7"/>
    <x v="1"/>
  </r>
  <r>
    <x v="244"/>
    <s v="24/02/2025"/>
    <x v="6"/>
    <x v="1"/>
    <x v="1"/>
    <x v="5"/>
    <x v="1"/>
    <x v="2"/>
    <n v="10254"/>
    <n v="2"/>
    <n v="3.9"/>
    <n v="8"/>
    <x v="7"/>
  </r>
  <r>
    <x v="245"/>
    <s v="26/07/2025"/>
    <x v="14"/>
    <x v="13"/>
    <x v="4"/>
    <x v="2"/>
    <x v="3"/>
    <x v="2"/>
    <n v="5685"/>
    <n v="3"/>
    <n v="4.4000000000000004"/>
    <n v="1"/>
    <x v="4"/>
  </r>
  <r>
    <x v="246"/>
    <s v="09/06/2025"/>
    <x v="18"/>
    <x v="16"/>
    <x v="2"/>
    <x v="2"/>
    <x v="1"/>
    <x v="2"/>
    <n v="161890"/>
    <n v="5"/>
    <n v="5"/>
    <n v="8"/>
    <x v="9"/>
  </r>
  <r>
    <x v="247"/>
    <s v="19/04/2025"/>
    <x v="3"/>
    <x v="5"/>
    <x v="4"/>
    <x v="1"/>
    <x v="1"/>
    <x v="0"/>
    <n v="16555"/>
    <n v="7"/>
    <n v="4.5999999999999996"/>
    <n v="2"/>
    <x v="2"/>
  </r>
  <r>
    <x v="248"/>
    <s v="30/03/2025"/>
    <x v="19"/>
    <x v="1"/>
    <x v="1"/>
    <x v="2"/>
    <x v="3"/>
    <x v="3"/>
    <n v="33112"/>
    <n v="4"/>
    <n v="3.3"/>
    <n v="6"/>
    <x v="6"/>
  </r>
  <r>
    <x v="249"/>
    <s v="22/11/2025"/>
    <x v="14"/>
    <x v="8"/>
    <x v="1"/>
    <x v="5"/>
    <x v="3"/>
    <x v="1"/>
    <n v="17616"/>
    <n v="2"/>
    <n v="4.3"/>
    <n v="3"/>
    <x v="11"/>
  </r>
  <r>
    <x v="250"/>
    <s v="19/12/2025"/>
    <x v="13"/>
    <x v="13"/>
    <x v="4"/>
    <x v="1"/>
    <x v="0"/>
    <x v="0"/>
    <n v="724"/>
    <n v="2"/>
    <n v="4.7"/>
    <n v="4"/>
    <x v="8"/>
  </r>
  <r>
    <x v="251"/>
    <s v="20/09/2025"/>
    <x v="13"/>
    <x v="12"/>
    <x v="2"/>
    <x v="2"/>
    <x v="3"/>
    <x v="1"/>
    <n v="64640"/>
    <n v="1"/>
    <n v="3.5"/>
    <n v="1"/>
    <x v="5"/>
  </r>
  <r>
    <x v="252"/>
    <s v="28/06/2025"/>
    <x v="6"/>
    <x v="11"/>
    <x v="3"/>
    <x v="0"/>
    <x v="2"/>
    <x v="1"/>
    <n v="25400"/>
    <n v="8"/>
    <n v="4.0999999999999996"/>
    <n v="7"/>
    <x v="9"/>
  </r>
  <r>
    <x v="253"/>
    <s v="02/06/2025"/>
    <x v="11"/>
    <x v="6"/>
    <x v="1"/>
    <x v="1"/>
    <x v="3"/>
    <x v="0"/>
    <n v="22590"/>
    <n v="2"/>
    <n v="3.8"/>
    <n v="5"/>
    <x v="9"/>
  </r>
  <r>
    <x v="254"/>
    <s v="30/01/2025"/>
    <x v="11"/>
    <x v="7"/>
    <x v="4"/>
    <x v="3"/>
    <x v="1"/>
    <x v="3"/>
    <n v="10913"/>
    <n v="7"/>
    <n v="4.0999999999999996"/>
    <n v="5"/>
    <x v="10"/>
  </r>
  <r>
    <x v="255"/>
    <s v="25/06/2025"/>
    <x v="10"/>
    <x v="10"/>
    <x v="0"/>
    <x v="4"/>
    <x v="3"/>
    <x v="2"/>
    <n v="6820"/>
    <n v="4"/>
    <n v="3.7"/>
    <n v="3"/>
    <x v="9"/>
  </r>
  <r>
    <x v="256"/>
    <s v="13/05/2025"/>
    <x v="16"/>
    <x v="18"/>
    <x v="3"/>
    <x v="2"/>
    <x v="3"/>
    <x v="1"/>
    <n v="7560"/>
    <n v="3"/>
    <n v="3.6"/>
    <n v="5"/>
    <x v="0"/>
  </r>
  <r>
    <x v="257"/>
    <s v="26/08/2025"/>
    <x v="12"/>
    <x v="6"/>
    <x v="1"/>
    <x v="0"/>
    <x v="1"/>
    <x v="1"/>
    <n v="21936"/>
    <n v="2"/>
    <n v="3.3"/>
    <n v="4"/>
    <x v="3"/>
  </r>
  <r>
    <x v="258"/>
    <s v="19/03/2025"/>
    <x v="9"/>
    <x v="3"/>
    <x v="3"/>
    <x v="3"/>
    <x v="3"/>
    <x v="0"/>
    <n v="16092"/>
    <n v="3"/>
    <n v="3.5"/>
    <n v="3"/>
    <x v="6"/>
  </r>
  <r>
    <x v="259"/>
    <s v="03/01/2025"/>
    <x v="8"/>
    <x v="14"/>
    <x v="2"/>
    <x v="5"/>
    <x v="1"/>
    <x v="3"/>
    <n v="196792"/>
    <n v="8"/>
    <n v="4.0999999999999996"/>
    <n v="2"/>
    <x v="10"/>
  </r>
  <r>
    <x v="260"/>
    <s v="02/09/2025"/>
    <x v="12"/>
    <x v="11"/>
    <x v="3"/>
    <x v="4"/>
    <x v="2"/>
    <x v="2"/>
    <n v="16331"/>
    <n v="7"/>
    <n v="4.9000000000000004"/>
    <n v="6"/>
    <x v="5"/>
  </r>
  <r>
    <x v="261"/>
    <s v="22/12/2025"/>
    <x v="9"/>
    <x v="7"/>
    <x v="4"/>
    <x v="0"/>
    <x v="3"/>
    <x v="1"/>
    <n v="4668"/>
    <n v="6"/>
    <n v="4.3"/>
    <n v="3"/>
    <x v="8"/>
  </r>
  <r>
    <x v="262"/>
    <s v="11/08/2025"/>
    <x v="0"/>
    <x v="4"/>
    <x v="3"/>
    <x v="4"/>
    <x v="0"/>
    <x v="0"/>
    <n v="6729"/>
    <n v="3"/>
    <n v="4.9000000000000004"/>
    <n v="7"/>
    <x v="3"/>
  </r>
  <r>
    <x v="263"/>
    <s v="29/10/2025"/>
    <x v="4"/>
    <x v="17"/>
    <x v="4"/>
    <x v="0"/>
    <x v="2"/>
    <x v="2"/>
    <n v="5253"/>
    <n v="3"/>
    <n v="3.7"/>
    <n v="1"/>
    <x v="1"/>
  </r>
  <r>
    <x v="264"/>
    <s v="02/08/2025"/>
    <x v="0"/>
    <x v="0"/>
    <x v="0"/>
    <x v="2"/>
    <x v="1"/>
    <x v="2"/>
    <n v="8624"/>
    <n v="8"/>
    <n v="4.5"/>
    <n v="4"/>
    <x v="3"/>
  </r>
  <r>
    <x v="265"/>
    <s v="15/11/2025"/>
    <x v="14"/>
    <x v="6"/>
    <x v="1"/>
    <x v="4"/>
    <x v="0"/>
    <x v="1"/>
    <n v="8184"/>
    <n v="3"/>
    <n v="3.7"/>
    <n v="2"/>
    <x v="11"/>
  </r>
  <r>
    <x v="266"/>
    <s v="03/07/2025"/>
    <x v="18"/>
    <x v="9"/>
    <x v="1"/>
    <x v="4"/>
    <x v="2"/>
    <x v="2"/>
    <n v="62524"/>
    <n v="7"/>
    <n v="4.8"/>
    <n v="8"/>
    <x v="4"/>
  </r>
  <r>
    <x v="267"/>
    <s v="21/10/2025"/>
    <x v="17"/>
    <x v="0"/>
    <x v="0"/>
    <x v="2"/>
    <x v="3"/>
    <x v="3"/>
    <n v="4840"/>
    <n v="8"/>
    <n v="4.8"/>
    <n v="4"/>
    <x v="1"/>
  </r>
  <r>
    <x v="268"/>
    <s v="31/03/2025"/>
    <x v="0"/>
    <x v="0"/>
    <x v="0"/>
    <x v="4"/>
    <x v="0"/>
    <x v="1"/>
    <n v="895"/>
    <n v="1"/>
    <n v="3.4"/>
    <n v="1"/>
    <x v="6"/>
  </r>
  <r>
    <x v="269"/>
    <s v="15/11/2025"/>
    <x v="11"/>
    <x v="12"/>
    <x v="2"/>
    <x v="3"/>
    <x v="1"/>
    <x v="3"/>
    <n v="237105"/>
    <n v="5"/>
    <n v="3.9"/>
    <n v="8"/>
    <x v="11"/>
  </r>
  <r>
    <x v="270"/>
    <s v="09/03/2025"/>
    <x v="1"/>
    <x v="17"/>
    <x v="4"/>
    <x v="5"/>
    <x v="1"/>
    <x v="1"/>
    <n v="674"/>
    <n v="1"/>
    <n v="4.5999999999999996"/>
    <n v="8"/>
    <x v="6"/>
  </r>
  <r>
    <x v="271"/>
    <s v="17/12/2025"/>
    <x v="18"/>
    <x v="1"/>
    <x v="1"/>
    <x v="0"/>
    <x v="0"/>
    <x v="1"/>
    <n v="24060"/>
    <n v="3"/>
    <n v="3.3"/>
    <n v="5"/>
    <x v="8"/>
  </r>
  <r>
    <x v="272"/>
    <s v="10/08/2025"/>
    <x v="0"/>
    <x v="1"/>
    <x v="1"/>
    <x v="1"/>
    <x v="0"/>
    <x v="3"/>
    <n v="39788"/>
    <n v="4"/>
    <n v="4.8"/>
    <n v="1"/>
    <x v="3"/>
  </r>
  <r>
    <x v="273"/>
    <s v="08/02/2025"/>
    <x v="5"/>
    <x v="18"/>
    <x v="3"/>
    <x v="4"/>
    <x v="2"/>
    <x v="3"/>
    <n v="23824"/>
    <n v="8"/>
    <n v="4.0999999999999996"/>
    <n v="7"/>
    <x v="7"/>
  </r>
  <r>
    <x v="274"/>
    <s v="15/02/2025"/>
    <x v="16"/>
    <x v="11"/>
    <x v="3"/>
    <x v="0"/>
    <x v="2"/>
    <x v="2"/>
    <n v="38192"/>
    <n v="8"/>
    <n v="3.2"/>
    <n v="7"/>
    <x v="7"/>
  </r>
  <r>
    <x v="275"/>
    <s v="18/09/2025"/>
    <x v="18"/>
    <x v="6"/>
    <x v="1"/>
    <x v="5"/>
    <x v="1"/>
    <x v="1"/>
    <n v="6756"/>
    <n v="4"/>
    <n v="4.7"/>
    <n v="8"/>
    <x v="5"/>
  </r>
  <r>
    <x v="276"/>
    <s v="19/02/2025"/>
    <x v="7"/>
    <x v="3"/>
    <x v="3"/>
    <x v="0"/>
    <x v="0"/>
    <x v="3"/>
    <n v="23560"/>
    <n v="4"/>
    <n v="4.2"/>
    <n v="6"/>
    <x v="7"/>
  </r>
  <r>
    <x v="277"/>
    <s v="24/02/2025"/>
    <x v="18"/>
    <x v="5"/>
    <x v="4"/>
    <x v="0"/>
    <x v="1"/>
    <x v="2"/>
    <n v="5260"/>
    <n v="5"/>
    <n v="3.6"/>
    <n v="4"/>
    <x v="7"/>
  </r>
  <r>
    <x v="278"/>
    <s v="19/08/2025"/>
    <x v="10"/>
    <x v="1"/>
    <x v="1"/>
    <x v="3"/>
    <x v="1"/>
    <x v="0"/>
    <n v="6968"/>
    <n v="8"/>
    <n v="4.2"/>
    <n v="1"/>
    <x v="3"/>
  </r>
  <r>
    <x v="279"/>
    <s v="07/03/2025"/>
    <x v="11"/>
    <x v="9"/>
    <x v="1"/>
    <x v="3"/>
    <x v="3"/>
    <x v="1"/>
    <n v="15318"/>
    <n v="2"/>
    <n v="5"/>
    <n v="4"/>
    <x v="6"/>
  </r>
  <r>
    <x v="280"/>
    <s v="12/03/2025"/>
    <x v="19"/>
    <x v="18"/>
    <x v="3"/>
    <x v="4"/>
    <x v="3"/>
    <x v="1"/>
    <n v="36309"/>
    <n v="7"/>
    <n v="4.5"/>
    <n v="4"/>
    <x v="6"/>
  </r>
  <r>
    <x v="281"/>
    <s v="15/09/2025"/>
    <x v="10"/>
    <x v="7"/>
    <x v="4"/>
    <x v="2"/>
    <x v="1"/>
    <x v="2"/>
    <n v="4332"/>
    <n v="6"/>
    <n v="4.2"/>
    <n v="7"/>
    <x v="5"/>
  </r>
  <r>
    <x v="282"/>
    <s v="13/01/2025"/>
    <x v="3"/>
    <x v="1"/>
    <x v="1"/>
    <x v="1"/>
    <x v="3"/>
    <x v="0"/>
    <n v="36218"/>
    <n v="7"/>
    <n v="4.5999999999999996"/>
    <n v="3"/>
    <x v="10"/>
  </r>
  <r>
    <x v="283"/>
    <s v="15/04/2025"/>
    <x v="10"/>
    <x v="20"/>
    <x v="0"/>
    <x v="3"/>
    <x v="0"/>
    <x v="1"/>
    <n v="1034"/>
    <n v="1"/>
    <n v="4.5"/>
    <n v="4"/>
    <x v="2"/>
  </r>
  <r>
    <x v="284"/>
    <s v="18/07/2025"/>
    <x v="4"/>
    <x v="15"/>
    <x v="0"/>
    <x v="3"/>
    <x v="0"/>
    <x v="1"/>
    <n v="11921"/>
    <n v="7"/>
    <n v="4.5"/>
    <n v="4"/>
    <x v="4"/>
  </r>
  <r>
    <x v="285"/>
    <s v="10/04/2025"/>
    <x v="5"/>
    <x v="9"/>
    <x v="1"/>
    <x v="0"/>
    <x v="1"/>
    <x v="1"/>
    <n v="18235"/>
    <n v="5"/>
    <n v="4.5"/>
    <n v="2"/>
    <x v="2"/>
  </r>
  <r>
    <x v="286"/>
    <s v="08/03/2025"/>
    <x v="2"/>
    <x v="6"/>
    <x v="1"/>
    <x v="4"/>
    <x v="3"/>
    <x v="2"/>
    <n v="25320"/>
    <n v="3"/>
    <n v="4.5"/>
    <n v="3"/>
    <x v="6"/>
  </r>
  <r>
    <x v="287"/>
    <s v="09/09/2025"/>
    <x v="16"/>
    <x v="6"/>
    <x v="1"/>
    <x v="5"/>
    <x v="1"/>
    <x v="2"/>
    <n v="22872"/>
    <n v="6"/>
    <n v="4.0999999999999996"/>
    <n v="3"/>
    <x v="5"/>
  </r>
  <r>
    <x v="288"/>
    <s v="20/04/2025"/>
    <x v="7"/>
    <x v="2"/>
    <x v="2"/>
    <x v="1"/>
    <x v="3"/>
    <x v="3"/>
    <n v="245874"/>
    <n v="6"/>
    <n v="4.2"/>
    <n v="1"/>
    <x v="2"/>
  </r>
  <r>
    <x v="289"/>
    <s v="21/01/2025"/>
    <x v="12"/>
    <x v="7"/>
    <x v="4"/>
    <x v="2"/>
    <x v="1"/>
    <x v="3"/>
    <n v="4284"/>
    <n v="6"/>
    <n v="4.5"/>
    <n v="1"/>
    <x v="10"/>
  </r>
  <r>
    <x v="290"/>
    <s v="30/11/2025"/>
    <x v="9"/>
    <x v="20"/>
    <x v="0"/>
    <x v="4"/>
    <x v="0"/>
    <x v="3"/>
    <n v="3824"/>
    <n v="4"/>
    <n v="4.9000000000000004"/>
    <n v="1"/>
    <x v="11"/>
  </r>
  <r>
    <x v="291"/>
    <s v="03/10/2025"/>
    <x v="9"/>
    <x v="10"/>
    <x v="0"/>
    <x v="0"/>
    <x v="2"/>
    <x v="0"/>
    <n v="11368"/>
    <n v="7"/>
    <n v="4.5"/>
    <n v="1"/>
    <x v="1"/>
  </r>
  <r>
    <x v="292"/>
    <s v="06/02/2025"/>
    <x v="0"/>
    <x v="19"/>
    <x v="2"/>
    <x v="3"/>
    <x v="2"/>
    <x v="2"/>
    <n v="213440"/>
    <n v="4"/>
    <n v="3.9"/>
    <n v="6"/>
    <x v="7"/>
  </r>
  <r>
    <x v="293"/>
    <s v="27/10/2025"/>
    <x v="4"/>
    <x v="1"/>
    <x v="1"/>
    <x v="0"/>
    <x v="3"/>
    <x v="3"/>
    <n v="2538"/>
    <n v="1"/>
    <n v="3.7"/>
    <n v="5"/>
    <x v="1"/>
  </r>
  <r>
    <x v="294"/>
    <s v="05/12/2025"/>
    <x v="8"/>
    <x v="11"/>
    <x v="3"/>
    <x v="2"/>
    <x v="3"/>
    <x v="2"/>
    <n v="2501"/>
    <n v="1"/>
    <n v="4.5"/>
    <n v="5"/>
    <x v="8"/>
  </r>
  <r>
    <x v="295"/>
    <s v="05/03/2025"/>
    <x v="19"/>
    <x v="9"/>
    <x v="1"/>
    <x v="3"/>
    <x v="0"/>
    <x v="0"/>
    <n v="2194"/>
    <n v="1"/>
    <n v="3.7"/>
    <n v="6"/>
    <x v="6"/>
  </r>
  <r>
    <x v="296"/>
    <s v="12/11/2025"/>
    <x v="10"/>
    <x v="7"/>
    <x v="4"/>
    <x v="0"/>
    <x v="3"/>
    <x v="2"/>
    <n v="3595"/>
    <n v="5"/>
    <n v="4.7"/>
    <n v="8"/>
    <x v="11"/>
  </r>
  <r>
    <x v="297"/>
    <s v="12/04/2025"/>
    <x v="19"/>
    <x v="14"/>
    <x v="2"/>
    <x v="2"/>
    <x v="1"/>
    <x v="3"/>
    <n v="154440"/>
    <n v="8"/>
    <n v="3.7"/>
    <n v="2"/>
    <x v="2"/>
  </r>
  <r>
    <x v="298"/>
    <s v="04/12/2025"/>
    <x v="1"/>
    <x v="19"/>
    <x v="2"/>
    <x v="0"/>
    <x v="3"/>
    <x v="0"/>
    <n v="383140"/>
    <n v="5"/>
    <n v="4.7"/>
    <n v="7"/>
    <x v="8"/>
  </r>
  <r>
    <x v="299"/>
    <s v="22/05/2025"/>
    <x v="14"/>
    <x v="5"/>
    <x v="4"/>
    <x v="5"/>
    <x v="2"/>
    <x v="0"/>
    <n v="9648"/>
    <n v="6"/>
    <n v="3.8"/>
    <n v="5"/>
    <x v="0"/>
  </r>
  <r>
    <x v="300"/>
    <s v="24/05/2025"/>
    <x v="12"/>
    <x v="1"/>
    <x v="1"/>
    <x v="1"/>
    <x v="2"/>
    <x v="3"/>
    <n v="6156"/>
    <n v="3"/>
    <n v="4.5"/>
    <n v="1"/>
    <x v="0"/>
  </r>
  <r>
    <x v="301"/>
    <s v="19/01/2025"/>
    <x v="8"/>
    <x v="9"/>
    <x v="1"/>
    <x v="3"/>
    <x v="2"/>
    <x v="3"/>
    <n v="33965"/>
    <n v="5"/>
    <n v="3.9"/>
    <n v="5"/>
    <x v="10"/>
  </r>
  <r>
    <x v="302"/>
    <s v="06/01/2025"/>
    <x v="14"/>
    <x v="19"/>
    <x v="2"/>
    <x v="2"/>
    <x v="2"/>
    <x v="0"/>
    <n v="279552"/>
    <n v="4"/>
    <n v="3.5"/>
    <n v="3"/>
    <x v="10"/>
  </r>
  <r>
    <x v="303"/>
    <s v="02/02/2025"/>
    <x v="5"/>
    <x v="18"/>
    <x v="3"/>
    <x v="3"/>
    <x v="1"/>
    <x v="2"/>
    <n v="11965"/>
    <n v="5"/>
    <n v="4.8"/>
    <n v="6"/>
    <x v="7"/>
  </r>
  <r>
    <x v="304"/>
    <s v="22/02/2025"/>
    <x v="6"/>
    <x v="20"/>
    <x v="0"/>
    <x v="1"/>
    <x v="2"/>
    <x v="1"/>
    <n v="4195"/>
    <n v="5"/>
    <n v="4.4000000000000004"/>
    <n v="6"/>
    <x v="7"/>
  </r>
  <r>
    <x v="305"/>
    <s v="22/09/2025"/>
    <x v="17"/>
    <x v="18"/>
    <x v="3"/>
    <x v="4"/>
    <x v="0"/>
    <x v="2"/>
    <n v="32543"/>
    <n v="7"/>
    <n v="3.2"/>
    <n v="3"/>
    <x v="5"/>
  </r>
  <r>
    <x v="306"/>
    <s v="19/04/2025"/>
    <x v="18"/>
    <x v="6"/>
    <x v="1"/>
    <x v="1"/>
    <x v="2"/>
    <x v="3"/>
    <n v="8214"/>
    <n v="3"/>
    <n v="4.4000000000000004"/>
    <n v="7"/>
    <x v="2"/>
  </r>
  <r>
    <x v="307"/>
    <s v="18/04/2025"/>
    <x v="8"/>
    <x v="11"/>
    <x v="3"/>
    <x v="1"/>
    <x v="2"/>
    <x v="0"/>
    <n v="8088"/>
    <n v="3"/>
    <n v="3.4"/>
    <n v="3"/>
    <x v="2"/>
  </r>
  <r>
    <x v="308"/>
    <s v="13/05/2025"/>
    <x v="9"/>
    <x v="10"/>
    <x v="0"/>
    <x v="4"/>
    <x v="1"/>
    <x v="3"/>
    <n v="4074"/>
    <n v="3"/>
    <n v="3.2"/>
    <n v="5"/>
    <x v="0"/>
  </r>
  <r>
    <x v="309"/>
    <s v="23/04/2025"/>
    <x v="1"/>
    <x v="18"/>
    <x v="3"/>
    <x v="1"/>
    <x v="3"/>
    <x v="3"/>
    <n v="15323"/>
    <n v="7"/>
    <n v="4.4000000000000004"/>
    <n v="5"/>
    <x v="2"/>
  </r>
  <r>
    <x v="310"/>
    <s v="28/04/2025"/>
    <x v="8"/>
    <x v="1"/>
    <x v="1"/>
    <x v="5"/>
    <x v="2"/>
    <x v="0"/>
    <n v="28805"/>
    <n v="7"/>
    <n v="4.0999999999999996"/>
    <n v="7"/>
    <x v="2"/>
  </r>
  <r>
    <x v="311"/>
    <s v="30/09/2025"/>
    <x v="12"/>
    <x v="3"/>
    <x v="3"/>
    <x v="3"/>
    <x v="3"/>
    <x v="2"/>
    <n v="11286"/>
    <n v="2"/>
    <n v="4.7"/>
    <n v="7"/>
    <x v="5"/>
  </r>
  <r>
    <x v="312"/>
    <s v="28/04/2025"/>
    <x v="14"/>
    <x v="8"/>
    <x v="1"/>
    <x v="4"/>
    <x v="2"/>
    <x v="1"/>
    <n v="19200"/>
    <n v="8"/>
    <n v="4"/>
    <n v="5"/>
    <x v="2"/>
  </r>
  <r>
    <x v="313"/>
    <s v="12/05/2025"/>
    <x v="19"/>
    <x v="8"/>
    <x v="1"/>
    <x v="1"/>
    <x v="3"/>
    <x v="3"/>
    <n v="10920"/>
    <n v="4"/>
    <n v="4.0999999999999996"/>
    <n v="7"/>
    <x v="0"/>
  </r>
  <r>
    <x v="314"/>
    <s v="21/03/2025"/>
    <x v="5"/>
    <x v="14"/>
    <x v="2"/>
    <x v="4"/>
    <x v="1"/>
    <x v="3"/>
    <n v="257243"/>
    <n v="7"/>
    <n v="4.2"/>
    <n v="5"/>
    <x v="6"/>
  </r>
  <r>
    <x v="315"/>
    <s v="14/10/2025"/>
    <x v="13"/>
    <x v="13"/>
    <x v="4"/>
    <x v="3"/>
    <x v="0"/>
    <x v="2"/>
    <n v="12048"/>
    <n v="8"/>
    <n v="4.5"/>
    <n v="2"/>
    <x v="1"/>
  </r>
  <r>
    <x v="316"/>
    <s v="23/06/2025"/>
    <x v="9"/>
    <x v="5"/>
    <x v="4"/>
    <x v="0"/>
    <x v="3"/>
    <x v="0"/>
    <n v="1843"/>
    <n v="1"/>
    <n v="4"/>
    <n v="7"/>
    <x v="9"/>
  </r>
  <r>
    <x v="317"/>
    <s v="08/11/2025"/>
    <x v="1"/>
    <x v="14"/>
    <x v="2"/>
    <x v="1"/>
    <x v="1"/>
    <x v="3"/>
    <n v="55013"/>
    <n v="1"/>
    <n v="4.0999999999999996"/>
    <n v="1"/>
    <x v="11"/>
  </r>
  <r>
    <x v="318"/>
    <s v="03/12/2025"/>
    <x v="2"/>
    <x v="10"/>
    <x v="0"/>
    <x v="2"/>
    <x v="0"/>
    <x v="2"/>
    <n v="3490"/>
    <n v="5"/>
    <n v="4.5"/>
    <n v="3"/>
    <x v="8"/>
  </r>
  <r>
    <x v="319"/>
    <s v="22/05/2025"/>
    <x v="9"/>
    <x v="17"/>
    <x v="4"/>
    <x v="5"/>
    <x v="3"/>
    <x v="1"/>
    <n v="13076"/>
    <n v="7"/>
    <n v="4.0999999999999996"/>
    <n v="2"/>
    <x v="0"/>
  </r>
  <r>
    <x v="320"/>
    <s v="26/04/2025"/>
    <x v="10"/>
    <x v="16"/>
    <x v="2"/>
    <x v="0"/>
    <x v="3"/>
    <x v="1"/>
    <n v="311416"/>
    <n v="4"/>
    <n v="3.5"/>
    <n v="2"/>
    <x v="2"/>
  </r>
  <r>
    <x v="321"/>
    <s v="03/10/2025"/>
    <x v="17"/>
    <x v="20"/>
    <x v="0"/>
    <x v="1"/>
    <x v="1"/>
    <x v="2"/>
    <n v="8605"/>
    <n v="5"/>
    <n v="4.5999999999999996"/>
    <n v="6"/>
    <x v="1"/>
  </r>
  <r>
    <x v="322"/>
    <s v="13/05/2025"/>
    <x v="11"/>
    <x v="3"/>
    <x v="3"/>
    <x v="4"/>
    <x v="3"/>
    <x v="2"/>
    <n v="6572"/>
    <n v="2"/>
    <n v="4.9000000000000004"/>
    <n v="1"/>
    <x v="0"/>
  </r>
  <r>
    <x v="323"/>
    <s v="08/02/2025"/>
    <x v="14"/>
    <x v="4"/>
    <x v="3"/>
    <x v="1"/>
    <x v="0"/>
    <x v="0"/>
    <n v="7470"/>
    <n v="3"/>
    <n v="3.7"/>
    <n v="4"/>
    <x v="7"/>
  </r>
  <r>
    <x v="324"/>
    <s v="16/04/2025"/>
    <x v="9"/>
    <x v="13"/>
    <x v="4"/>
    <x v="1"/>
    <x v="1"/>
    <x v="2"/>
    <n v="5088"/>
    <n v="4"/>
    <n v="4.5999999999999996"/>
    <n v="2"/>
    <x v="2"/>
  </r>
  <r>
    <x v="325"/>
    <s v="04/09/2025"/>
    <x v="5"/>
    <x v="1"/>
    <x v="1"/>
    <x v="4"/>
    <x v="0"/>
    <x v="2"/>
    <n v="31806"/>
    <n v="6"/>
    <n v="4.0999999999999996"/>
    <n v="5"/>
    <x v="5"/>
  </r>
  <r>
    <x v="326"/>
    <s v="02/09/2025"/>
    <x v="18"/>
    <x v="8"/>
    <x v="1"/>
    <x v="1"/>
    <x v="2"/>
    <x v="2"/>
    <n v="8290"/>
    <n v="1"/>
    <n v="5"/>
    <n v="8"/>
    <x v="5"/>
  </r>
  <r>
    <x v="327"/>
    <s v="25/10/2025"/>
    <x v="11"/>
    <x v="5"/>
    <x v="4"/>
    <x v="3"/>
    <x v="3"/>
    <x v="1"/>
    <n v="3462"/>
    <n v="2"/>
    <n v="4.2"/>
    <n v="4"/>
    <x v="1"/>
  </r>
  <r>
    <x v="328"/>
    <s v="06/08/2025"/>
    <x v="6"/>
    <x v="5"/>
    <x v="4"/>
    <x v="1"/>
    <x v="0"/>
    <x v="2"/>
    <n v="7096"/>
    <n v="4"/>
    <n v="4"/>
    <n v="3"/>
    <x v="3"/>
  </r>
  <r>
    <x v="329"/>
    <s v="12/10/2025"/>
    <x v="16"/>
    <x v="2"/>
    <x v="2"/>
    <x v="3"/>
    <x v="0"/>
    <x v="1"/>
    <n v="151312"/>
    <n v="7"/>
    <n v="4.7"/>
    <n v="3"/>
    <x v="1"/>
  </r>
  <r>
    <x v="330"/>
    <s v="09/05/2025"/>
    <x v="7"/>
    <x v="4"/>
    <x v="3"/>
    <x v="3"/>
    <x v="3"/>
    <x v="1"/>
    <n v="1191"/>
    <n v="1"/>
    <n v="4.7"/>
    <n v="8"/>
    <x v="0"/>
  </r>
  <r>
    <x v="331"/>
    <s v="14/10/2025"/>
    <x v="6"/>
    <x v="16"/>
    <x v="2"/>
    <x v="5"/>
    <x v="0"/>
    <x v="1"/>
    <n v="282350"/>
    <n v="5"/>
    <n v="4.8"/>
    <n v="4"/>
    <x v="1"/>
  </r>
  <r>
    <x v="332"/>
    <s v="11/12/2025"/>
    <x v="1"/>
    <x v="16"/>
    <x v="2"/>
    <x v="1"/>
    <x v="3"/>
    <x v="3"/>
    <n v="419576"/>
    <n v="8"/>
    <n v="4"/>
    <n v="3"/>
    <x v="8"/>
  </r>
  <r>
    <x v="333"/>
    <s v="06/02/2025"/>
    <x v="4"/>
    <x v="8"/>
    <x v="1"/>
    <x v="1"/>
    <x v="1"/>
    <x v="1"/>
    <n v="11982"/>
    <n v="2"/>
    <n v="4.4000000000000004"/>
    <n v="5"/>
    <x v="7"/>
  </r>
  <r>
    <x v="334"/>
    <s v="28/10/2025"/>
    <x v="9"/>
    <x v="4"/>
    <x v="3"/>
    <x v="4"/>
    <x v="0"/>
    <x v="3"/>
    <n v="7112"/>
    <n v="8"/>
    <n v="4.5"/>
    <n v="5"/>
    <x v="1"/>
  </r>
  <r>
    <x v="335"/>
    <s v="02/02/2025"/>
    <x v="7"/>
    <x v="0"/>
    <x v="0"/>
    <x v="2"/>
    <x v="0"/>
    <x v="2"/>
    <n v="11384"/>
    <n v="8"/>
    <n v="4.5999999999999996"/>
    <n v="2"/>
    <x v="7"/>
  </r>
  <r>
    <x v="336"/>
    <s v="28/04/2025"/>
    <x v="0"/>
    <x v="4"/>
    <x v="3"/>
    <x v="0"/>
    <x v="3"/>
    <x v="1"/>
    <n v="6940"/>
    <n v="4"/>
    <n v="4.0999999999999996"/>
    <n v="3"/>
    <x v="2"/>
  </r>
  <r>
    <x v="337"/>
    <s v="04/10/2025"/>
    <x v="6"/>
    <x v="11"/>
    <x v="3"/>
    <x v="3"/>
    <x v="3"/>
    <x v="1"/>
    <n v="25585"/>
    <n v="5"/>
    <n v="4.3"/>
    <n v="8"/>
    <x v="1"/>
  </r>
  <r>
    <x v="338"/>
    <s v="15/02/2025"/>
    <x v="12"/>
    <x v="18"/>
    <x v="3"/>
    <x v="4"/>
    <x v="3"/>
    <x v="1"/>
    <n v="22624"/>
    <n v="8"/>
    <n v="3.7"/>
    <n v="1"/>
    <x v="7"/>
  </r>
  <r>
    <x v="339"/>
    <s v="19/12/2025"/>
    <x v="10"/>
    <x v="3"/>
    <x v="3"/>
    <x v="2"/>
    <x v="0"/>
    <x v="3"/>
    <n v="33808"/>
    <n v="8"/>
    <n v="4.3"/>
    <n v="1"/>
    <x v="8"/>
  </r>
  <r>
    <x v="340"/>
    <s v="22/07/2025"/>
    <x v="12"/>
    <x v="8"/>
    <x v="1"/>
    <x v="5"/>
    <x v="3"/>
    <x v="1"/>
    <n v="20432"/>
    <n v="4"/>
    <n v="3.3"/>
    <n v="4"/>
    <x v="4"/>
  </r>
  <r>
    <x v="341"/>
    <s v="31/07/2025"/>
    <x v="11"/>
    <x v="6"/>
    <x v="1"/>
    <x v="1"/>
    <x v="1"/>
    <x v="0"/>
    <n v="10432"/>
    <n v="4"/>
    <n v="4.3"/>
    <n v="8"/>
    <x v="4"/>
  </r>
  <r>
    <x v="342"/>
    <s v="19/03/2025"/>
    <x v="0"/>
    <x v="14"/>
    <x v="2"/>
    <x v="4"/>
    <x v="2"/>
    <x v="0"/>
    <n v="26871"/>
    <n v="1"/>
    <n v="3.7"/>
    <n v="8"/>
    <x v="6"/>
  </r>
  <r>
    <x v="343"/>
    <s v="22/04/2025"/>
    <x v="18"/>
    <x v="15"/>
    <x v="0"/>
    <x v="0"/>
    <x v="0"/>
    <x v="2"/>
    <n v="6960"/>
    <n v="6"/>
    <n v="4.5"/>
    <n v="1"/>
    <x v="2"/>
  </r>
  <r>
    <x v="344"/>
    <s v="06/02/2025"/>
    <x v="5"/>
    <x v="12"/>
    <x v="2"/>
    <x v="3"/>
    <x v="0"/>
    <x v="2"/>
    <n v="282224"/>
    <n v="8"/>
    <n v="3.4"/>
    <n v="4"/>
    <x v="7"/>
  </r>
  <r>
    <x v="345"/>
    <s v="18/02/2025"/>
    <x v="10"/>
    <x v="5"/>
    <x v="4"/>
    <x v="5"/>
    <x v="2"/>
    <x v="1"/>
    <n v="7372"/>
    <n v="4"/>
    <n v="4.3"/>
    <n v="1"/>
    <x v="7"/>
  </r>
  <r>
    <x v="346"/>
    <s v="12/04/2025"/>
    <x v="1"/>
    <x v="4"/>
    <x v="3"/>
    <x v="2"/>
    <x v="2"/>
    <x v="3"/>
    <n v="15798"/>
    <n v="6"/>
    <n v="4"/>
    <n v="1"/>
    <x v="2"/>
  </r>
  <r>
    <x v="347"/>
    <s v="22/01/2025"/>
    <x v="4"/>
    <x v="17"/>
    <x v="4"/>
    <x v="2"/>
    <x v="2"/>
    <x v="2"/>
    <n v="7072"/>
    <n v="8"/>
    <n v="3.5"/>
    <n v="2"/>
    <x v="10"/>
  </r>
  <r>
    <x v="348"/>
    <s v="26/12/2025"/>
    <x v="17"/>
    <x v="2"/>
    <x v="2"/>
    <x v="1"/>
    <x v="0"/>
    <x v="2"/>
    <n v="65994"/>
    <n v="2"/>
    <n v="4.5999999999999996"/>
    <n v="6"/>
    <x v="8"/>
  </r>
  <r>
    <x v="349"/>
    <s v="10/03/2025"/>
    <x v="19"/>
    <x v="4"/>
    <x v="3"/>
    <x v="5"/>
    <x v="0"/>
    <x v="1"/>
    <n v="26395"/>
    <n v="5"/>
    <n v="4.2"/>
    <n v="8"/>
    <x v="6"/>
  </r>
  <r>
    <x v="350"/>
    <s v="21/05/2025"/>
    <x v="17"/>
    <x v="12"/>
    <x v="2"/>
    <x v="0"/>
    <x v="1"/>
    <x v="0"/>
    <n v="68457"/>
    <n v="3"/>
    <n v="4.7"/>
    <n v="6"/>
    <x v="0"/>
  </r>
  <r>
    <x v="351"/>
    <s v="14/11/2025"/>
    <x v="10"/>
    <x v="20"/>
    <x v="0"/>
    <x v="4"/>
    <x v="3"/>
    <x v="1"/>
    <n v="3824"/>
    <n v="4"/>
    <n v="4.0999999999999996"/>
    <n v="8"/>
    <x v="11"/>
  </r>
  <r>
    <x v="352"/>
    <s v="26/02/2025"/>
    <x v="7"/>
    <x v="4"/>
    <x v="3"/>
    <x v="3"/>
    <x v="0"/>
    <x v="2"/>
    <n v="3526"/>
    <n v="2"/>
    <n v="4.8"/>
    <n v="4"/>
    <x v="7"/>
  </r>
  <r>
    <x v="353"/>
    <s v="03/12/2025"/>
    <x v="0"/>
    <x v="15"/>
    <x v="0"/>
    <x v="4"/>
    <x v="1"/>
    <x v="2"/>
    <n v="11008"/>
    <n v="8"/>
    <n v="4.3"/>
    <n v="2"/>
    <x v="8"/>
  </r>
  <r>
    <x v="354"/>
    <s v="04/07/2025"/>
    <x v="3"/>
    <x v="3"/>
    <x v="3"/>
    <x v="0"/>
    <x v="0"/>
    <x v="2"/>
    <n v="20139"/>
    <n v="7"/>
    <n v="3.3"/>
    <n v="2"/>
    <x v="4"/>
  </r>
  <r>
    <x v="355"/>
    <s v="30/09/2025"/>
    <x v="10"/>
    <x v="10"/>
    <x v="0"/>
    <x v="1"/>
    <x v="1"/>
    <x v="2"/>
    <n v="4816"/>
    <n v="7"/>
    <n v="4.3"/>
    <n v="3"/>
    <x v="5"/>
  </r>
  <r>
    <x v="356"/>
    <s v="12/12/2025"/>
    <x v="1"/>
    <x v="6"/>
    <x v="1"/>
    <x v="5"/>
    <x v="1"/>
    <x v="1"/>
    <n v="30040"/>
    <n v="8"/>
    <n v="4.2"/>
    <n v="6"/>
    <x v="8"/>
  </r>
  <r>
    <x v="357"/>
    <s v="16/06/2025"/>
    <x v="5"/>
    <x v="19"/>
    <x v="2"/>
    <x v="5"/>
    <x v="3"/>
    <x v="1"/>
    <n v="269370"/>
    <n v="6"/>
    <n v="4.2"/>
    <n v="4"/>
    <x v="9"/>
  </r>
  <r>
    <x v="358"/>
    <s v="23/07/2025"/>
    <x v="0"/>
    <x v="11"/>
    <x v="3"/>
    <x v="2"/>
    <x v="0"/>
    <x v="0"/>
    <n v="5580"/>
    <n v="1"/>
    <n v="4.0999999999999996"/>
    <n v="5"/>
    <x v="4"/>
  </r>
  <r>
    <x v="359"/>
    <s v="20/12/2025"/>
    <x v="17"/>
    <x v="14"/>
    <x v="2"/>
    <x v="2"/>
    <x v="0"/>
    <x v="0"/>
    <n v="377090"/>
    <n v="5"/>
    <n v="3.5"/>
    <n v="1"/>
    <x v="8"/>
  </r>
  <r>
    <x v="360"/>
    <s v="26/10/2025"/>
    <x v="9"/>
    <x v="16"/>
    <x v="2"/>
    <x v="1"/>
    <x v="3"/>
    <x v="3"/>
    <n v="167444"/>
    <n v="4"/>
    <n v="3.9"/>
    <n v="4"/>
    <x v="1"/>
  </r>
  <r>
    <x v="361"/>
    <s v="20/12/2025"/>
    <x v="18"/>
    <x v="5"/>
    <x v="4"/>
    <x v="2"/>
    <x v="1"/>
    <x v="3"/>
    <n v="2960"/>
    <n v="2"/>
    <n v="3.3"/>
    <n v="1"/>
    <x v="8"/>
  </r>
  <r>
    <x v="362"/>
    <s v="01/12/2025"/>
    <x v="18"/>
    <x v="10"/>
    <x v="0"/>
    <x v="5"/>
    <x v="0"/>
    <x v="0"/>
    <n v="1598"/>
    <n v="1"/>
    <n v="3.3"/>
    <n v="3"/>
    <x v="8"/>
  </r>
  <r>
    <x v="363"/>
    <s v="17/08/2025"/>
    <x v="14"/>
    <x v="15"/>
    <x v="0"/>
    <x v="5"/>
    <x v="2"/>
    <x v="3"/>
    <n v="1508"/>
    <n v="2"/>
    <n v="3.4"/>
    <n v="2"/>
    <x v="3"/>
  </r>
  <r>
    <x v="364"/>
    <s v="24/07/2025"/>
    <x v="6"/>
    <x v="14"/>
    <x v="2"/>
    <x v="4"/>
    <x v="0"/>
    <x v="0"/>
    <n v="141239"/>
    <n v="7"/>
    <n v="3.6"/>
    <n v="7"/>
    <x v="4"/>
  </r>
  <r>
    <x v="365"/>
    <s v="09/08/2025"/>
    <x v="18"/>
    <x v="20"/>
    <x v="0"/>
    <x v="2"/>
    <x v="2"/>
    <x v="1"/>
    <n v="10212"/>
    <n v="6"/>
    <n v="3.9"/>
    <n v="4"/>
    <x v="3"/>
  </r>
  <r>
    <x v="366"/>
    <s v="12/11/2025"/>
    <x v="8"/>
    <x v="13"/>
    <x v="4"/>
    <x v="1"/>
    <x v="2"/>
    <x v="2"/>
    <n v="6776"/>
    <n v="8"/>
    <n v="3.6"/>
    <n v="6"/>
    <x v="11"/>
  </r>
  <r>
    <x v="367"/>
    <s v="14/11/2025"/>
    <x v="18"/>
    <x v="10"/>
    <x v="0"/>
    <x v="4"/>
    <x v="0"/>
    <x v="0"/>
    <n v="2667"/>
    <n v="3"/>
    <n v="4"/>
    <n v="1"/>
    <x v="11"/>
  </r>
  <r>
    <x v="368"/>
    <s v="08/10/2025"/>
    <x v="11"/>
    <x v="6"/>
    <x v="1"/>
    <x v="4"/>
    <x v="2"/>
    <x v="1"/>
    <n v="82808"/>
    <n v="8"/>
    <n v="4.8"/>
    <n v="1"/>
    <x v="1"/>
  </r>
  <r>
    <x v="369"/>
    <s v="28/01/2025"/>
    <x v="7"/>
    <x v="13"/>
    <x v="4"/>
    <x v="0"/>
    <x v="3"/>
    <x v="3"/>
    <n v="2272"/>
    <n v="8"/>
    <n v="3.7"/>
    <n v="6"/>
    <x v="10"/>
  </r>
  <r>
    <x v="370"/>
    <s v="18/09/2025"/>
    <x v="10"/>
    <x v="5"/>
    <x v="4"/>
    <x v="1"/>
    <x v="2"/>
    <x v="2"/>
    <n v="4470"/>
    <n v="2"/>
    <n v="3.5"/>
    <n v="8"/>
    <x v="5"/>
  </r>
  <r>
    <x v="371"/>
    <s v="20/06/2025"/>
    <x v="13"/>
    <x v="13"/>
    <x v="4"/>
    <x v="5"/>
    <x v="3"/>
    <x v="2"/>
    <n v="7144"/>
    <n v="8"/>
    <n v="3.8"/>
    <n v="5"/>
    <x v="9"/>
  </r>
  <r>
    <x v="372"/>
    <s v="16/01/2025"/>
    <x v="12"/>
    <x v="12"/>
    <x v="2"/>
    <x v="1"/>
    <x v="0"/>
    <x v="3"/>
    <n v="236490"/>
    <n v="5"/>
    <n v="3.4"/>
    <n v="7"/>
    <x v="10"/>
  </r>
  <r>
    <x v="373"/>
    <s v="07/08/2025"/>
    <x v="6"/>
    <x v="7"/>
    <x v="4"/>
    <x v="5"/>
    <x v="0"/>
    <x v="0"/>
    <n v="7990"/>
    <n v="5"/>
    <n v="3.6"/>
    <n v="3"/>
    <x v="3"/>
  </r>
  <r>
    <x v="374"/>
    <s v="11/03/2025"/>
    <x v="1"/>
    <x v="19"/>
    <x v="2"/>
    <x v="2"/>
    <x v="0"/>
    <x v="2"/>
    <n v="308798"/>
    <n v="7"/>
    <n v="4.2"/>
    <n v="2"/>
    <x v="6"/>
  </r>
  <r>
    <x v="375"/>
    <s v="30/07/2025"/>
    <x v="4"/>
    <x v="12"/>
    <x v="2"/>
    <x v="5"/>
    <x v="3"/>
    <x v="0"/>
    <n v="112085"/>
    <n v="5"/>
    <n v="3.4"/>
    <n v="1"/>
    <x v="4"/>
  </r>
  <r>
    <x v="376"/>
    <s v="29/04/2025"/>
    <x v="15"/>
    <x v="9"/>
    <x v="1"/>
    <x v="4"/>
    <x v="1"/>
    <x v="3"/>
    <n v="9030"/>
    <n v="1"/>
    <n v="4.7"/>
    <n v="8"/>
    <x v="2"/>
  </r>
  <r>
    <x v="377"/>
    <s v="25/03/2025"/>
    <x v="19"/>
    <x v="18"/>
    <x v="3"/>
    <x v="4"/>
    <x v="2"/>
    <x v="0"/>
    <n v="3288"/>
    <n v="4"/>
    <n v="4.9000000000000004"/>
    <n v="4"/>
    <x v="6"/>
  </r>
  <r>
    <x v="378"/>
    <s v="19/12/2025"/>
    <x v="18"/>
    <x v="11"/>
    <x v="3"/>
    <x v="3"/>
    <x v="2"/>
    <x v="2"/>
    <n v="24096"/>
    <n v="6"/>
    <n v="4.3"/>
    <n v="7"/>
    <x v="8"/>
  </r>
  <r>
    <x v="379"/>
    <s v="22/01/2025"/>
    <x v="19"/>
    <x v="11"/>
    <x v="3"/>
    <x v="2"/>
    <x v="1"/>
    <x v="3"/>
    <n v="4084"/>
    <n v="4"/>
    <n v="3.9"/>
    <n v="1"/>
    <x v="10"/>
  </r>
  <r>
    <x v="380"/>
    <s v="25/08/2025"/>
    <x v="17"/>
    <x v="16"/>
    <x v="2"/>
    <x v="0"/>
    <x v="2"/>
    <x v="0"/>
    <n v="248592"/>
    <n v="3"/>
    <n v="4.8"/>
    <n v="8"/>
    <x v="3"/>
  </r>
  <r>
    <x v="381"/>
    <s v="21/07/2025"/>
    <x v="17"/>
    <x v="9"/>
    <x v="1"/>
    <x v="0"/>
    <x v="3"/>
    <x v="1"/>
    <n v="57631"/>
    <n v="7"/>
    <n v="4.3"/>
    <n v="4"/>
    <x v="4"/>
  </r>
  <r>
    <x v="382"/>
    <s v="16/02/2025"/>
    <x v="5"/>
    <x v="17"/>
    <x v="4"/>
    <x v="5"/>
    <x v="1"/>
    <x v="2"/>
    <n v="4180"/>
    <n v="2"/>
    <n v="4.5"/>
    <n v="3"/>
    <x v="7"/>
  </r>
  <r>
    <x v="383"/>
    <s v="17/10/2025"/>
    <x v="3"/>
    <x v="13"/>
    <x v="4"/>
    <x v="1"/>
    <x v="0"/>
    <x v="2"/>
    <n v="2526"/>
    <n v="3"/>
    <n v="3.8"/>
    <n v="8"/>
    <x v="1"/>
  </r>
  <r>
    <x v="384"/>
    <s v="02/01/2025"/>
    <x v="13"/>
    <x v="7"/>
    <x v="4"/>
    <x v="4"/>
    <x v="1"/>
    <x v="3"/>
    <n v="10640"/>
    <n v="5"/>
    <n v="4.7"/>
    <n v="8"/>
    <x v="10"/>
  </r>
  <r>
    <x v="385"/>
    <s v="10/02/2025"/>
    <x v="2"/>
    <x v="11"/>
    <x v="3"/>
    <x v="4"/>
    <x v="0"/>
    <x v="2"/>
    <n v="5777"/>
    <n v="1"/>
    <n v="4.2"/>
    <n v="4"/>
    <x v="7"/>
  </r>
  <r>
    <x v="386"/>
    <s v="16/03/2025"/>
    <x v="1"/>
    <x v="14"/>
    <x v="2"/>
    <x v="1"/>
    <x v="3"/>
    <x v="0"/>
    <n v="45899"/>
    <n v="1"/>
    <n v="3.4"/>
    <n v="3"/>
    <x v="6"/>
  </r>
  <r>
    <x v="387"/>
    <s v="19/01/2025"/>
    <x v="3"/>
    <x v="4"/>
    <x v="3"/>
    <x v="3"/>
    <x v="0"/>
    <x v="2"/>
    <n v="7608"/>
    <n v="2"/>
    <n v="4.5999999999999996"/>
    <n v="2"/>
    <x v="10"/>
  </r>
  <r>
    <x v="388"/>
    <s v="27/09/2025"/>
    <x v="14"/>
    <x v="16"/>
    <x v="2"/>
    <x v="1"/>
    <x v="3"/>
    <x v="3"/>
    <n v="209300"/>
    <n v="7"/>
    <n v="3.4"/>
    <n v="2"/>
    <x v="5"/>
  </r>
  <r>
    <x v="389"/>
    <s v="13/05/2025"/>
    <x v="4"/>
    <x v="6"/>
    <x v="1"/>
    <x v="4"/>
    <x v="3"/>
    <x v="0"/>
    <n v="53724"/>
    <n v="6"/>
    <n v="4.0999999999999996"/>
    <n v="3"/>
    <x v="0"/>
  </r>
  <r>
    <x v="390"/>
    <s v="13/01/2025"/>
    <x v="15"/>
    <x v="0"/>
    <x v="0"/>
    <x v="5"/>
    <x v="0"/>
    <x v="2"/>
    <n v="12640"/>
    <n v="8"/>
    <n v="3.9"/>
    <n v="6"/>
    <x v="10"/>
  </r>
  <r>
    <x v="391"/>
    <s v="11/05/2025"/>
    <x v="18"/>
    <x v="13"/>
    <x v="4"/>
    <x v="2"/>
    <x v="1"/>
    <x v="2"/>
    <n v="2958"/>
    <n v="2"/>
    <n v="4.5999999999999996"/>
    <n v="2"/>
    <x v="0"/>
  </r>
  <r>
    <x v="392"/>
    <s v="19/06/2025"/>
    <x v="17"/>
    <x v="7"/>
    <x v="4"/>
    <x v="5"/>
    <x v="3"/>
    <x v="3"/>
    <n v="13272"/>
    <n v="6"/>
    <n v="3.4"/>
    <n v="3"/>
    <x v="9"/>
  </r>
  <r>
    <x v="393"/>
    <s v="24/09/2025"/>
    <x v="15"/>
    <x v="3"/>
    <x v="3"/>
    <x v="0"/>
    <x v="0"/>
    <x v="1"/>
    <n v="25445"/>
    <n v="5"/>
    <n v="3.6"/>
    <n v="6"/>
    <x v="5"/>
  </r>
  <r>
    <x v="394"/>
    <s v="12/07/2025"/>
    <x v="18"/>
    <x v="20"/>
    <x v="0"/>
    <x v="1"/>
    <x v="2"/>
    <x v="1"/>
    <n v="4407"/>
    <n v="3"/>
    <n v="4.8"/>
    <n v="5"/>
    <x v="4"/>
  </r>
  <r>
    <x v="395"/>
    <s v="12/09/2025"/>
    <x v="15"/>
    <x v="3"/>
    <x v="3"/>
    <x v="0"/>
    <x v="0"/>
    <x v="2"/>
    <n v="9880"/>
    <n v="4"/>
    <n v="3.7"/>
    <n v="2"/>
    <x v="5"/>
  </r>
  <r>
    <x v="396"/>
    <s v="05/09/2025"/>
    <x v="7"/>
    <x v="3"/>
    <x v="3"/>
    <x v="5"/>
    <x v="0"/>
    <x v="0"/>
    <n v="14967"/>
    <n v="3"/>
    <n v="4.5999999999999996"/>
    <n v="3"/>
    <x v="5"/>
  </r>
  <r>
    <x v="397"/>
    <s v="18/07/2025"/>
    <x v="7"/>
    <x v="15"/>
    <x v="0"/>
    <x v="5"/>
    <x v="3"/>
    <x v="2"/>
    <n v="616"/>
    <n v="2"/>
    <n v="3.8"/>
    <n v="1"/>
    <x v="4"/>
  </r>
  <r>
    <x v="398"/>
    <s v="24/11/2025"/>
    <x v="7"/>
    <x v="6"/>
    <x v="1"/>
    <x v="2"/>
    <x v="0"/>
    <x v="0"/>
    <n v="21328"/>
    <n v="4"/>
    <n v="4.2"/>
    <n v="8"/>
    <x v="11"/>
  </r>
  <r>
    <x v="399"/>
    <s v="08/01/2025"/>
    <x v="6"/>
    <x v="14"/>
    <x v="2"/>
    <x v="4"/>
    <x v="0"/>
    <x v="2"/>
    <n v="96832"/>
    <n v="2"/>
    <n v="3.7"/>
    <n v="5"/>
    <x v="10"/>
  </r>
  <r>
    <x v="400"/>
    <s v="23/06/2025"/>
    <x v="2"/>
    <x v="19"/>
    <x v="2"/>
    <x v="0"/>
    <x v="1"/>
    <x v="3"/>
    <n v="50400"/>
    <n v="8"/>
    <n v="3.3"/>
    <n v="7"/>
    <x v="9"/>
  </r>
  <r>
    <x v="401"/>
    <s v="12/11/2025"/>
    <x v="6"/>
    <x v="5"/>
    <x v="4"/>
    <x v="4"/>
    <x v="2"/>
    <x v="3"/>
    <n v="9666"/>
    <n v="6"/>
    <n v="5"/>
    <n v="8"/>
    <x v="11"/>
  </r>
  <r>
    <x v="402"/>
    <s v="08/06/2025"/>
    <x v="5"/>
    <x v="15"/>
    <x v="0"/>
    <x v="4"/>
    <x v="3"/>
    <x v="1"/>
    <n v="10104"/>
    <n v="8"/>
    <n v="3.7"/>
    <n v="6"/>
    <x v="9"/>
  </r>
  <r>
    <x v="403"/>
    <s v="16/01/2025"/>
    <x v="15"/>
    <x v="11"/>
    <x v="3"/>
    <x v="5"/>
    <x v="0"/>
    <x v="2"/>
    <n v="9242"/>
    <n v="2"/>
    <n v="4.7"/>
    <n v="5"/>
    <x v="10"/>
  </r>
  <r>
    <x v="404"/>
    <s v="16/06/2025"/>
    <x v="10"/>
    <x v="3"/>
    <x v="3"/>
    <x v="4"/>
    <x v="1"/>
    <x v="3"/>
    <n v="7966"/>
    <n v="2"/>
    <n v="3.9"/>
    <n v="4"/>
    <x v="9"/>
  </r>
  <r>
    <x v="405"/>
    <s v="17/04/2025"/>
    <x v="6"/>
    <x v="20"/>
    <x v="0"/>
    <x v="3"/>
    <x v="2"/>
    <x v="3"/>
    <n v="8337"/>
    <n v="7"/>
    <n v="4.4000000000000004"/>
    <n v="2"/>
    <x v="2"/>
  </r>
  <r>
    <x v="406"/>
    <s v="19/02/2025"/>
    <x v="18"/>
    <x v="19"/>
    <x v="2"/>
    <x v="3"/>
    <x v="2"/>
    <x v="2"/>
    <n v="445504"/>
    <n v="8"/>
    <n v="3.4"/>
    <n v="7"/>
    <x v="7"/>
  </r>
  <r>
    <x v="407"/>
    <s v="25/10/2025"/>
    <x v="19"/>
    <x v="7"/>
    <x v="4"/>
    <x v="4"/>
    <x v="3"/>
    <x v="1"/>
    <n v="861"/>
    <n v="1"/>
    <n v="3.9"/>
    <n v="8"/>
    <x v="1"/>
  </r>
  <r>
    <x v="408"/>
    <s v="11/08/2025"/>
    <x v="2"/>
    <x v="6"/>
    <x v="1"/>
    <x v="2"/>
    <x v="2"/>
    <x v="2"/>
    <n v="44532"/>
    <n v="6"/>
    <n v="4.7"/>
    <n v="5"/>
    <x v="3"/>
  </r>
  <r>
    <x v="409"/>
    <s v="26/02/2025"/>
    <x v="5"/>
    <x v="6"/>
    <x v="1"/>
    <x v="3"/>
    <x v="1"/>
    <x v="0"/>
    <n v="36295"/>
    <n v="5"/>
    <n v="4.3"/>
    <n v="7"/>
    <x v="7"/>
  </r>
  <r>
    <x v="410"/>
    <s v="13/03/2025"/>
    <x v="8"/>
    <x v="5"/>
    <x v="4"/>
    <x v="0"/>
    <x v="2"/>
    <x v="2"/>
    <n v="7300"/>
    <n v="4"/>
    <n v="3.7"/>
    <n v="3"/>
    <x v="6"/>
  </r>
  <r>
    <x v="411"/>
    <s v="03/12/2025"/>
    <x v="4"/>
    <x v="5"/>
    <x v="4"/>
    <x v="4"/>
    <x v="1"/>
    <x v="3"/>
    <n v="4172"/>
    <n v="7"/>
    <n v="4.7"/>
    <n v="7"/>
    <x v="8"/>
  </r>
  <r>
    <x v="412"/>
    <s v="16/07/2025"/>
    <x v="12"/>
    <x v="8"/>
    <x v="1"/>
    <x v="2"/>
    <x v="1"/>
    <x v="1"/>
    <n v="5526"/>
    <n v="6"/>
    <n v="4.2"/>
    <n v="4"/>
    <x v="4"/>
  </r>
  <r>
    <x v="413"/>
    <s v="18/10/2025"/>
    <x v="8"/>
    <x v="0"/>
    <x v="0"/>
    <x v="1"/>
    <x v="3"/>
    <x v="3"/>
    <n v="13944"/>
    <n v="8"/>
    <n v="4.9000000000000004"/>
    <n v="2"/>
    <x v="1"/>
  </r>
  <r>
    <x v="414"/>
    <s v="25/09/2025"/>
    <x v="4"/>
    <x v="1"/>
    <x v="1"/>
    <x v="0"/>
    <x v="3"/>
    <x v="2"/>
    <n v="19268"/>
    <n v="2"/>
    <n v="4.5999999999999996"/>
    <n v="5"/>
    <x v="5"/>
  </r>
  <r>
    <x v="415"/>
    <s v="20/09/2025"/>
    <x v="4"/>
    <x v="11"/>
    <x v="3"/>
    <x v="1"/>
    <x v="3"/>
    <x v="1"/>
    <n v="28728"/>
    <n v="8"/>
    <n v="3.7"/>
    <n v="1"/>
    <x v="5"/>
  </r>
  <r>
    <x v="416"/>
    <s v="24/10/2025"/>
    <x v="8"/>
    <x v="15"/>
    <x v="0"/>
    <x v="5"/>
    <x v="2"/>
    <x v="1"/>
    <n v="4419"/>
    <n v="3"/>
    <n v="3.7"/>
    <n v="2"/>
    <x v="1"/>
  </r>
  <r>
    <x v="417"/>
    <s v="12/11/2025"/>
    <x v="17"/>
    <x v="2"/>
    <x v="2"/>
    <x v="2"/>
    <x v="0"/>
    <x v="1"/>
    <n v="21805"/>
    <n v="5"/>
    <n v="3.5"/>
    <n v="3"/>
    <x v="11"/>
  </r>
  <r>
    <x v="418"/>
    <s v="03/04/2025"/>
    <x v="5"/>
    <x v="5"/>
    <x v="4"/>
    <x v="4"/>
    <x v="1"/>
    <x v="0"/>
    <n v="595"/>
    <n v="1"/>
    <n v="4.7"/>
    <n v="7"/>
    <x v="2"/>
  </r>
  <r>
    <x v="419"/>
    <s v="28/01/2025"/>
    <x v="10"/>
    <x v="13"/>
    <x v="4"/>
    <x v="4"/>
    <x v="1"/>
    <x v="3"/>
    <n v="2325"/>
    <n v="5"/>
    <n v="4.0999999999999996"/>
    <n v="8"/>
    <x v="10"/>
  </r>
  <r>
    <x v="420"/>
    <s v="16/03/2025"/>
    <x v="7"/>
    <x v="4"/>
    <x v="3"/>
    <x v="5"/>
    <x v="3"/>
    <x v="3"/>
    <n v="26803"/>
    <n v="7"/>
    <n v="3.8"/>
    <n v="1"/>
    <x v="6"/>
  </r>
  <r>
    <x v="421"/>
    <s v="21/06/2025"/>
    <x v="6"/>
    <x v="6"/>
    <x v="1"/>
    <x v="4"/>
    <x v="3"/>
    <x v="0"/>
    <n v="36040"/>
    <n v="5"/>
    <n v="4"/>
    <n v="4"/>
    <x v="9"/>
  </r>
  <r>
    <x v="422"/>
    <s v="06/01/2025"/>
    <x v="15"/>
    <x v="19"/>
    <x v="2"/>
    <x v="4"/>
    <x v="3"/>
    <x v="1"/>
    <n v="56403"/>
    <n v="1"/>
    <n v="3.4"/>
    <n v="8"/>
    <x v="10"/>
  </r>
  <r>
    <x v="423"/>
    <s v="13/01/2025"/>
    <x v="9"/>
    <x v="17"/>
    <x v="4"/>
    <x v="5"/>
    <x v="0"/>
    <x v="3"/>
    <n v="2276"/>
    <n v="2"/>
    <n v="4.5"/>
    <n v="2"/>
    <x v="10"/>
  </r>
  <r>
    <x v="424"/>
    <s v="26/02/2025"/>
    <x v="16"/>
    <x v="9"/>
    <x v="1"/>
    <x v="1"/>
    <x v="3"/>
    <x v="1"/>
    <n v="33795"/>
    <n v="3"/>
    <n v="4"/>
    <n v="5"/>
    <x v="7"/>
  </r>
  <r>
    <x v="425"/>
    <s v="22/05/2025"/>
    <x v="1"/>
    <x v="17"/>
    <x v="4"/>
    <x v="3"/>
    <x v="2"/>
    <x v="3"/>
    <n v="1841"/>
    <n v="1"/>
    <n v="4.9000000000000004"/>
    <n v="5"/>
    <x v="0"/>
  </r>
  <r>
    <x v="426"/>
    <s v="02/04/2025"/>
    <x v="17"/>
    <x v="5"/>
    <x v="4"/>
    <x v="1"/>
    <x v="3"/>
    <x v="2"/>
    <n v="6712"/>
    <n v="8"/>
    <n v="4.3"/>
    <n v="2"/>
    <x v="2"/>
  </r>
  <r>
    <x v="427"/>
    <s v="06/02/2025"/>
    <x v="5"/>
    <x v="0"/>
    <x v="0"/>
    <x v="2"/>
    <x v="0"/>
    <x v="1"/>
    <n v="6065"/>
    <n v="5"/>
    <n v="4.4000000000000004"/>
    <n v="1"/>
    <x v="7"/>
  </r>
  <r>
    <x v="428"/>
    <s v="21/09/2025"/>
    <x v="14"/>
    <x v="3"/>
    <x v="3"/>
    <x v="0"/>
    <x v="3"/>
    <x v="1"/>
    <n v="10192"/>
    <n v="8"/>
    <n v="3.6"/>
    <n v="7"/>
    <x v="5"/>
  </r>
  <r>
    <x v="429"/>
    <s v="29/01/2025"/>
    <x v="19"/>
    <x v="12"/>
    <x v="2"/>
    <x v="4"/>
    <x v="2"/>
    <x v="3"/>
    <n v="94144"/>
    <n v="2"/>
    <n v="4.5999999999999996"/>
    <n v="5"/>
    <x v="10"/>
  </r>
  <r>
    <x v="430"/>
    <s v="23/12/2025"/>
    <x v="8"/>
    <x v="13"/>
    <x v="4"/>
    <x v="0"/>
    <x v="0"/>
    <x v="2"/>
    <n v="12047"/>
    <n v="7"/>
    <n v="4"/>
    <n v="4"/>
    <x v="8"/>
  </r>
  <r>
    <x v="431"/>
    <s v="08/09/2025"/>
    <x v="0"/>
    <x v="9"/>
    <x v="1"/>
    <x v="0"/>
    <x v="3"/>
    <x v="2"/>
    <n v="66836"/>
    <n v="7"/>
    <n v="4.9000000000000004"/>
    <n v="8"/>
    <x v="5"/>
  </r>
  <r>
    <x v="432"/>
    <s v="27/07/2025"/>
    <x v="9"/>
    <x v="14"/>
    <x v="2"/>
    <x v="0"/>
    <x v="0"/>
    <x v="3"/>
    <n v="125158"/>
    <n v="2"/>
    <n v="4.5"/>
    <n v="4"/>
    <x v="4"/>
  </r>
  <r>
    <x v="433"/>
    <s v="13/11/2025"/>
    <x v="7"/>
    <x v="15"/>
    <x v="0"/>
    <x v="3"/>
    <x v="0"/>
    <x v="2"/>
    <n v="797"/>
    <n v="1"/>
    <n v="3.3"/>
    <n v="5"/>
    <x v="11"/>
  </r>
  <r>
    <x v="434"/>
    <s v="12/09/2025"/>
    <x v="6"/>
    <x v="0"/>
    <x v="0"/>
    <x v="5"/>
    <x v="0"/>
    <x v="1"/>
    <n v="1716"/>
    <n v="4"/>
    <n v="3.9"/>
    <n v="2"/>
    <x v="5"/>
  </r>
  <r>
    <x v="435"/>
    <s v="31/10/2025"/>
    <x v="15"/>
    <x v="17"/>
    <x v="4"/>
    <x v="5"/>
    <x v="0"/>
    <x v="3"/>
    <n v="1524"/>
    <n v="3"/>
    <n v="4.5999999999999996"/>
    <n v="3"/>
    <x v="1"/>
  </r>
  <r>
    <x v="436"/>
    <s v="10/03/2025"/>
    <x v="1"/>
    <x v="17"/>
    <x v="4"/>
    <x v="0"/>
    <x v="3"/>
    <x v="3"/>
    <n v="3580"/>
    <n v="2"/>
    <n v="3.3"/>
    <n v="1"/>
    <x v="6"/>
  </r>
  <r>
    <x v="437"/>
    <s v="16/04/2025"/>
    <x v="4"/>
    <x v="18"/>
    <x v="3"/>
    <x v="1"/>
    <x v="2"/>
    <x v="0"/>
    <n v="13167"/>
    <n v="3"/>
    <n v="3.6"/>
    <n v="3"/>
    <x v="2"/>
  </r>
  <r>
    <x v="438"/>
    <s v="18/11/2025"/>
    <x v="4"/>
    <x v="3"/>
    <x v="3"/>
    <x v="2"/>
    <x v="0"/>
    <x v="3"/>
    <n v="26340"/>
    <n v="5"/>
    <n v="3.5"/>
    <n v="2"/>
    <x v="11"/>
  </r>
  <r>
    <x v="439"/>
    <s v="28/01/2025"/>
    <x v="2"/>
    <x v="13"/>
    <x v="4"/>
    <x v="1"/>
    <x v="3"/>
    <x v="1"/>
    <n v="3444"/>
    <n v="4"/>
    <n v="3.5"/>
    <n v="1"/>
    <x v="10"/>
  </r>
  <r>
    <x v="440"/>
    <s v="09/05/2025"/>
    <x v="1"/>
    <x v="5"/>
    <x v="4"/>
    <x v="0"/>
    <x v="1"/>
    <x v="2"/>
    <n v="12636"/>
    <n v="6"/>
    <n v="4.9000000000000004"/>
    <n v="3"/>
    <x v="0"/>
  </r>
  <r>
    <x v="441"/>
    <s v="16/08/2025"/>
    <x v="13"/>
    <x v="10"/>
    <x v="0"/>
    <x v="1"/>
    <x v="1"/>
    <x v="0"/>
    <n v="6948"/>
    <n v="6"/>
    <n v="3.8"/>
    <n v="2"/>
    <x v="3"/>
  </r>
  <r>
    <x v="442"/>
    <s v="07/02/2025"/>
    <x v="1"/>
    <x v="18"/>
    <x v="3"/>
    <x v="3"/>
    <x v="3"/>
    <x v="0"/>
    <n v="34160"/>
    <n v="8"/>
    <n v="3.6"/>
    <n v="8"/>
    <x v="7"/>
  </r>
  <r>
    <x v="443"/>
    <s v="20/11/2025"/>
    <x v="11"/>
    <x v="18"/>
    <x v="3"/>
    <x v="4"/>
    <x v="2"/>
    <x v="3"/>
    <n v="10452"/>
    <n v="6"/>
    <n v="4.4000000000000004"/>
    <n v="1"/>
    <x v="11"/>
  </r>
  <r>
    <x v="444"/>
    <s v="29/03/2025"/>
    <x v="6"/>
    <x v="11"/>
    <x v="3"/>
    <x v="5"/>
    <x v="0"/>
    <x v="2"/>
    <n v="11904"/>
    <n v="6"/>
    <n v="4.9000000000000004"/>
    <n v="3"/>
    <x v="6"/>
  </r>
  <r>
    <x v="445"/>
    <s v="21/04/2025"/>
    <x v="6"/>
    <x v="11"/>
    <x v="3"/>
    <x v="4"/>
    <x v="0"/>
    <x v="2"/>
    <n v="33656"/>
    <n v="8"/>
    <n v="3.6"/>
    <n v="7"/>
    <x v="2"/>
  </r>
  <r>
    <x v="446"/>
    <s v="21/01/2025"/>
    <x v="17"/>
    <x v="3"/>
    <x v="3"/>
    <x v="3"/>
    <x v="0"/>
    <x v="2"/>
    <n v="40400"/>
    <n v="8"/>
    <n v="4.0999999999999996"/>
    <n v="2"/>
    <x v="10"/>
  </r>
  <r>
    <x v="447"/>
    <s v="21/12/2025"/>
    <x v="0"/>
    <x v="1"/>
    <x v="1"/>
    <x v="3"/>
    <x v="3"/>
    <x v="0"/>
    <n v="33012"/>
    <n v="7"/>
    <n v="4.4000000000000004"/>
    <n v="2"/>
    <x v="8"/>
  </r>
  <r>
    <x v="448"/>
    <s v="21/08/2025"/>
    <x v="9"/>
    <x v="3"/>
    <x v="3"/>
    <x v="3"/>
    <x v="3"/>
    <x v="2"/>
    <n v="29872"/>
    <n v="8"/>
    <n v="4"/>
    <n v="1"/>
    <x v="3"/>
  </r>
  <r>
    <x v="449"/>
    <s v="19/05/2025"/>
    <x v="2"/>
    <x v="12"/>
    <x v="2"/>
    <x v="0"/>
    <x v="1"/>
    <x v="1"/>
    <n v="335296"/>
    <n v="4"/>
    <n v="4.0999999999999996"/>
    <n v="6"/>
    <x v="0"/>
  </r>
  <r>
    <x v="450"/>
    <s v="07/07/2025"/>
    <x v="10"/>
    <x v="3"/>
    <x v="3"/>
    <x v="0"/>
    <x v="1"/>
    <x v="0"/>
    <n v="14262"/>
    <n v="6"/>
    <n v="5"/>
    <n v="4"/>
    <x v="4"/>
  </r>
  <r>
    <x v="451"/>
    <s v="30/06/2025"/>
    <x v="14"/>
    <x v="13"/>
    <x v="4"/>
    <x v="5"/>
    <x v="2"/>
    <x v="3"/>
    <n v="9910"/>
    <n v="5"/>
    <n v="3.9"/>
    <n v="8"/>
    <x v="9"/>
  </r>
  <r>
    <x v="452"/>
    <s v="20/08/2025"/>
    <x v="3"/>
    <x v="6"/>
    <x v="1"/>
    <x v="0"/>
    <x v="2"/>
    <x v="0"/>
    <n v="13380"/>
    <n v="6"/>
    <n v="3.3"/>
    <n v="3"/>
    <x v="3"/>
  </r>
  <r>
    <x v="453"/>
    <s v="23/12/2025"/>
    <x v="10"/>
    <x v="14"/>
    <x v="2"/>
    <x v="4"/>
    <x v="1"/>
    <x v="1"/>
    <n v="87816"/>
    <n v="3"/>
    <n v="3.2"/>
    <n v="7"/>
    <x v="8"/>
  </r>
  <r>
    <x v="454"/>
    <s v="27/11/2025"/>
    <x v="16"/>
    <x v="11"/>
    <x v="3"/>
    <x v="5"/>
    <x v="3"/>
    <x v="1"/>
    <n v="880"/>
    <n v="1"/>
    <n v="4.7"/>
    <n v="6"/>
    <x v="11"/>
  </r>
  <r>
    <x v="455"/>
    <s v="23/08/2025"/>
    <x v="3"/>
    <x v="11"/>
    <x v="3"/>
    <x v="0"/>
    <x v="0"/>
    <x v="1"/>
    <n v="10530"/>
    <n v="5"/>
    <n v="3.6"/>
    <n v="6"/>
    <x v="3"/>
  </r>
  <r>
    <x v="456"/>
    <s v="27/03/2025"/>
    <x v="1"/>
    <x v="12"/>
    <x v="2"/>
    <x v="4"/>
    <x v="2"/>
    <x v="2"/>
    <n v="119661"/>
    <n v="3"/>
    <n v="4.7"/>
    <n v="3"/>
    <x v="6"/>
  </r>
  <r>
    <x v="457"/>
    <s v="06/03/2025"/>
    <x v="15"/>
    <x v="19"/>
    <x v="2"/>
    <x v="4"/>
    <x v="3"/>
    <x v="3"/>
    <n v="213456"/>
    <n v="8"/>
    <n v="4.5"/>
    <n v="6"/>
    <x v="6"/>
  </r>
  <r>
    <x v="458"/>
    <s v="01/10/2025"/>
    <x v="8"/>
    <x v="9"/>
    <x v="1"/>
    <x v="0"/>
    <x v="3"/>
    <x v="1"/>
    <n v="15905"/>
    <n v="5"/>
    <n v="4.9000000000000004"/>
    <n v="6"/>
    <x v="1"/>
  </r>
  <r>
    <x v="459"/>
    <s v="21/10/2025"/>
    <x v="10"/>
    <x v="4"/>
    <x v="3"/>
    <x v="0"/>
    <x v="3"/>
    <x v="2"/>
    <n v="4860"/>
    <n v="3"/>
    <n v="4.8"/>
    <n v="3"/>
    <x v="1"/>
  </r>
  <r>
    <x v="460"/>
    <s v="17/08/2025"/>
    <x v="11"/>
    <x v="18"/>
    <x v="3"/>
    <x v="4"/>
    <x v="2"/>
    <x v="2"/>
    <n v="34086"/>
    <n v="6"/>
    <n v="3.6"/>
    <n v="4"/>
    <x v="3"/>
  </r>
  <r>
    <x v="461"/>
    <s v="13/12/2025"/>
    <x v="15"/>
    <x v="8"/>
    <x v="1"/>
    <x v="3"/>
    <x v="0"/>
    <x v="3"/>
    <n v="12012"/>
    <n v="2"/>
    <n v="4.3"/>
    <n v="1"/>
    <x v="8"/>
  </r>
  <r>
    <x v="462"/>
    <s v="10/07/2025"/>
    <x v="19"/>
    <x v="12"/>
    <x v="2"/>
    <x v="1"/>
    <x v="1"/>
    <x v="3"/>
    <n v="48552"/>
    <n v="1"/>
    <n v="4.8"/>
    <n v="2"/>
    <x v="4"/>
  </r>
  <r>
    <x v="463"/>
    <s v="25/03/2025"/>
    <x v="3"/>
    <x v="4"/>
    <x v="3"/>
    <x v="3"/>
    <x v="3"/>
    <x v="2"/>
    <n v="38570"/>
    <n v="7"/>
    <n v="3.4"/>
    <n v="4"/>
    <x v="6"/>
  </r>
  <r>
    <x v="464"/>
    <s v="15/02/2025"/>
    <x v="19"/>
    <x v="8"/>
    <x v="1"/>
    <x v="4"/>
    <x v="1"/>
    <x v="1"/>
    <n v="9906"/>
    <n v="1"/>
    <n v="4"/>
    <n v="3"/>
    <x v="7"/>
  </r>
  <r>
    <x v="465"/>
    <s v="22/01/2025"/>
    <x v="8"/>
    <x v="8"/>
    <x v="1"/>
    <x v="2"/>
    <x v="3"/>
    <x v="3"/>
    <n v="41965"/>
    <n v="5"/>
    <n v="3.6"/>
    <n v="1"/>
    <x v="10"/>
  </r>
  <r>
    <x v="466"/>
    <s v="02/08/2025"/>
    <x v="4"/>
    <x v="20"/>
    <x v="0"/>
    <x v="1"/>
    <x v="3"/>
    <x v="3"/>
    <n v="3921"/>
    <n v="3"/>
    <n v="4.0999999999999996"/>
    <n v="2"/>
    <x v="3"/>
  </r>
  <r>
    <x v="467"/>
    <s v="13/05/2025"/>
    <x v="1"/>
    <x v="8"/>
    <x v="1"/>
    <x v="5"/>
    <x v="2"/>
    <x v="0"/>
    <n v="81800"/>
    <n v="8"/>
    <n v="3.2"/>
    <n v="5"/>
    <x v="0"/>
  </r>
  <r>
    <x v="468"/>
    <s v="21/12/2025"/>
    <x v="2"/>
    <x v="12"/>
    <x v="2"/>
    <x v="2"/>
    <x v="3"/>
    <x v="2"/>
    <n v="28296"/>
    <n v="3"/>
    <n v="4"/>
    <n v="6"/>
    <x v="8"/>
  </r>
  <r>
    <x v="469"/>
    <s v="18/11/2025"/>
    <x v="11"/>
    <x v="9"/>
    <x v="1"/>
    <x v="1"/>
    <x v="3"/>
    <x v="2"/>
    <n v="17940"/>
    <n v="3"/>
    <n v="4.7"/>
    <n v="5"/>
    <x v="11"/>
  </r>
  <r>
    <x v="470"/>
    <s v="15/03/2025"/>
    <x v="7"/>
    <x v="6"/>
    <x v="1"/>
    <x v="4"/>
    <x v="0"/>
    <x v="0"/>
    <n v="8744"/>
    <n v="1"/>
    <n v="3.9"/>
    <n v="3"/>
    <x v="6"/>
  </r>
  <r>
    <x v="471"/>
    <s v="02/08/2025"/>
    <x v="8"/>
    <x v="17"/>
    <x v="4"/>
    <x v="3"/>
    <x v="3"/>
    <x v="0"/>
    <n v="5816"/>
    <n v="8"/>
    <n v="3.8"/>
    <n v="6"/>
    <x v="3"/>
  </r>
  <r>
    <x v="472"/>
    <s v="02/03/2025"/>
    <x v="16"/>
    <x v="14"/>
    <x v="2"/>
    <x v="1"/>
    <x v="2"/>
    <x v="2"/>
    <n v="128788"/>
    <n v="4"/>
    <n v="3.6"/>
    <n v="2"/>
    <x v="6"/>
  </r>
  <r>
    <x v="473"/>
    <s v="09/08/2025"/>
    <x v="11"/>
    <x v="15"/>
    <x v="0"/>
    <x v="0"/>
    <x v="2"/>
    <x v="1"/>
    <n v="702"/>
    <n v="1"/>
    <n v="3.3"/>
    <n v="2"/>
    <x v="3"/>
  </r>
  <r>
    <x v="474"/>
    <s v="05/03/2025"/>
    <x v="6"/>
    <x v="0"/>
    <x v="0"/>
    <x v="2"/>
    <x v="3"/>
    <x v="0"/>
    <n v="6012"/>
    <n v="4"/>
    <n v="3.4"/>
    <n v="5"/>
    <x v="6"/>
  </r>
  <r>
    <x v="475"/>
    <s v="16/09/2025"/>
    <x v="10"/>
    <x v="9"/>
    <x v="1"/>
    <x v="0"/>
    <x v="2"/>
    <x v="0"/>
    <n v="7876"/>
    <n v="2"/>
    <n v="4.9000000000000004"/>
    <n v="3"/>
    <x v="5"/>
  </r>
  <r>
    <x v="476"/>
    <s v="07/07/2025"/>
    <x v="16"/>
    <x v="8"/>
    <x v="1"/>
    <x v="0"/>
    <x v="3"/>
    <x v="2"/>
    <n v="21057"/>
    <n v="3"/>
    <n v="4"/>
    <n v="4"/>
    <x v="4"/>
  </r>
  <r>
    <x v="477"/>
    <s v="24/09/2025"/>
    <x v="7"/>
    <x v="3"/>
    <x v="3"/>
    <x v="3"/>
    <x v="3"/>
    <x v="3"/>
    <n v="15792"/>
    <n v="3"/>
    <n v="3.3"/>
    <n v="8"/>
    <x v="5"/>
  </r>
  <r>
    <x v="478"/>
    <s v="18/12/2025"/>
    <x v="15"/>
    <x v="6"/>
    <x v="1"/>
    <x v="4"/>
    <x v="2"/>
    <x v="3"/>
    <n v="31144"/>
    <n v="8"/>
    <n v="4.7"/>
    <n v="8"/>
    <x v="8"/>
  </r>
  <r>
    <x v="479"/>
    <s v="13/08/2025"/>
    <x v="9"/>
    <x v="15"/>
    <x v="0"/>
    <x v="2"/>
    <x v="0"/>
    <x v="1"/>
    <n v="1088"/>
    <n v="2"/>
    <n v="5"/>
    <n v="3"/>
    <x v="3"/>
  </r>
  <r>
    <x v="480"/>
    <s v="04/03/2025"/>
    <x v="15"/>
    <x v="5"/>
    <x v="4"/>
    <x v="3"/>
    <x v="1"/>
    <x v="3"/>
    <n v="9176"/>
    <n v="4"/>
    <n v="3.7"/>
    <n v="7"/>
    <x v="6"/>
  </r>
  <r>
    <x v="481"/>
    <s v="17/03/2025"/>
    <x v="0"/>
    <x v="6"/>
    <x v="1"/>
    <x v="0"/>
    <x v="2"/>
    <x v="2"/>
    <n v="71576"/>
    <n v="8"/>
    <n v="3.6"/>
    <n v="3"/>
    <x v="6"/>
  </r>
  <r>
    <x v="482"/>
    <s v="02/04/2025"/>
    <x v="12"/>
    <x v="3"/>
    <x v="3"/>
    <x v="3"/>
    <x v="1"/>
    <x v="0"/>
    <n v="22260"/>
    <n v="7"/>
    <n v="4.3"/>
    <n v="2"/>
    <x v="2"/>
  </r>
  <r>
    <x v="483"/>
    <s v="09/09/2025"/>
    <x v="16"/>
    <x v="12"/>
    <x v="2"/>
    <x v="0"/>
    <x v="1"/>
    <x v="3"/>
    <n v="366740"/>
    <n v="5"/>
    <n v="4.9000000000000004"/>
    <n v="1"/>
    <x v="5"/>
  </r>
  <r>
    <x v="484"/>
    <s v="15/08/2025"/>
    <x v="1"/>
    <x v="12"/>
    <x v="2"/>
    <x v="3"/>
    <x v="1"/>
    <x v="0"/>
    <n v="205456"/>
    <n v="8"/>
    <n v="4.7"/>
    <n v="5"/>
    <x v="3"/>
  </r>
  <r>
    <x v="485"/>
    <s v="07/09/2025"/>
    <x v="12"/>
    <x v="12"/>
    <x v="2"/>
    <x v="0"/>
    <x v="1"/>
    <x v="1"/>
    <n v="150170"/>
    <n v="2"/>
    <n v="4"/>
    <n v="3"/>
    <x v="5"/>
  </r>
  <r>
    <x v="486"/>
    <s v="12/11/2025"/>
    <x v="15"/>
    <x v="11"/>
    <x v="3"/>
    <x v="1"/>
    <x v="2"/>
    <x v="1"/>
    <n v="5580"/>
    <n v="6"/>
    <n v="3.3"/>
    <n v="6"/>
    <x v="11"/>
  </r>
  <r>
    <x v="487"/>
    <s v="08/08/2025"/>
    <x v="3"/>
    <x v="3"/>
    <x v="3"/>
    <x v="5"/>
    <x v="2"/>
    <x v="2"/>
    <n v="6972"/>
    <n v="6"/>
    <n v="3.6"/>
    <n v="4"/>
    <x v="3"/>
  </r>
  <r>
    <x v="488"/>
    <s v="22/06/2025"/>
    <x v="6"/>
    <x v="14"/>
    <x v="2"/>
    <x v="5"/>
    <x v="1"/>
    <x v="1"/>
    <n v="135732"/>
    <n v="3"/>
    <n v="4.4000000000000004"/>
    <n v="7"/>
    <x v="9"/>
  </r>
  <r>
    <x v="489"/>
    <s v="29/10/2025"/>
    <x v="7"/>
    <x v="15"/>
    <x v="0"/>
    <x v="1"/>
    <x v="0"/>
    <x v="1"/>
    <n v="948"/>
    <n v="1"/>
    <n v="4.2"/>
    <n v="8"/>
    <x v="1"/>
  </r>
  <r>
    <x v="490"/>
    <s v="27/03/2025"/>
    <x v="10"/>
    <x v="4"/>
    <x v="3"/>
    <x v="4"/>
    <x v="3"/>
    <x v="1"/>
    <n v="23855"/>
    <n v="5"/>
    <n v="4.7"/>
    <n v="2"/>
    <x v="6"/>
  </r>
  <r>
    <x v="491"/>
    <s v="21/10/2025"/>
    <x v="6"/>
    <x v="20"/>
    <x v="0"/>
    <x v="5"/>
    <x v="1"/>
    <x v="3"/>
    <n v="5334"/>
    <n v="7"/>
    <n v="3.8"/>
    <n v="2"/>
    <x v="1"/>
  </r>
  <r>
    <x v="492"/>
    <s v="09/02/2025"/>
    <x v="11"/>
    <x v="13"/>
    <x v="4"/>
    <x v="5"/>
    <x v="1"/>
    <x v="0"/>
    <n v="7390"/>
    <n v="5"/>
    <n v="3.6"/>
    <n v="7"/>
    <x v="7"/>
  </r>
  <r>
    <x v="493"/>
    <s v="23/10/2025"/>
    <x v="6"/>
    <x v="10"/>
    <x v="0"/>
    <x v="1"/>
    <x v="2"/>
    <x v="0"/>
    <n v="5888"/>
    <n v="8"/>
    <n v="4.7"/>
    <n v="7"/>
    <x v="1"/>
  </r>
  <r>
    <x v="494"/>
    <s v="17/03/2025"/>
    <x v="19"/>
    <x v="12"/>
    <x v="2"/>
    <x v="3"/>
    <x v="3"/>
    <x v="1"/>
    <n v="238268"/>
    <n v="4"/>
    <n v="4.7"/>
    <n v="2"/>
    <x v="6"/>
  </r>
  <r>
    <x v="495"/>
    <s v="18/12/2025"/>
    <x v="17"/>
    <x v="13"/>
    <x v="4"/>
    <x v="3"/>
    <x v="1"/>
    <x v="3"/>
    <n v="4904"/>
    <n v="4"/>
    <n v="3.2"/>
    <n v="5"/>
    <x v="8"/>
  </r>
  <r>
    <x v="496"/>
    <s v="23/03/2025"/>
    <x v="14"/>
    <x v="10"/>
    <x v="0"/>
    <x v="0"/>
    <x v="2"/>
    <x v="2"/>
    <n v="2895"/>
    <n v="5"/>
    <n v="4.2"/>
    <n v="1"/>
    <x v="6"/>
  </r>
  <r>
    <x v="497"/>
    <s v="02/06/2025"/>
    <x v="12"/>
    <x v="19"/>
    <x v="2"/>
    <x v="1"/>
    <x v="3"/>
    <x v="3"/>
    <n v="28672"/>
    <n v="2"/>
    <n v="3.6"/>
    <n v="2"/>
    <x v="9"/>
  </r>
  <r>
    <x v="498"/>
    <s v="04/11/2025"/>
    <x v="8"/>
    <x v="10"/>
    <x v="0"/>
    <x v="0"/>
    <x v="0"/>
    <x v="0"/>
    <n v="1882"/>
    <n v="2"/>
    <n v="4.9000000000000004"/>
    <n v="4"/>
    <x v="11"/>
  </r>
  <r>
    <x v="499"/>
    <s v="29/07/2025"/>
    <x v="18"/>
    <x v="12"/>
    <x v="2"/>
    <x v="5"/>
    <x v="1"/>
    <x v="3"/>
    <n v="333860"/>
    <n v="5"/>
    <n v="4.5"/>
    <n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FE2664-5260-B64A-ADD3-505425AAC766}" name="PivotTable13"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8" firstHeaderRow="1" firstDataRow="1" firstDataCol="1"/>
  <pivotFields count="13">
    <pivotField showAll="0"/>
    <pivotField showAll="0"/>
    <pivotField showAll="0"/>
    <pivotField showAll="0"/>
    <pivotField showAll="0"/>
    <pivotField showAll="0"/>
    <pivotField showAll="0">
      <items count="5">
        <item x="2"/>
        <item x="0"/>
        <item x="3"/>
        <item x="1"/>
        <item t="default"/>
      </items>
    </pivotField>
    <pivotField axis="axisRow"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7"/>
  </rowFields>
  <rowItems count="5">
    <i>
      <x/>
    </i>
    <i>
      <x v="1"/>
    </i>
    <i>
      <x v="2"/>
    </i>
    <i>
      <x v="3"/>
    </i>
    <i t="grand">
      <x/>
    </i>
  </rowItems>
  <colItems count="1">
    <i/>
  </colItems>
  <dataFields count="1">
    <dataField name="Sum of Sales" fld="8" baseField="0" baseItem="0" numFmtId="164"/>
  </dataFields>
  <formats count="1">
    <format dxfId="1">
      <pivotArea outline="0" fieldPosition="0">
        <references count="1">
          <reference field="4294967294" count="1">
            <x v="0"/>
          </reference>
        </references>
      </pivotArea>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E818DA-FF9D-344D-89C3-D1712AAAC28E}" name="PivotTable15" cacheId="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P3:T505" firstHeaderRow="2" firstDataRow="2" firstDataCol="4"/>
  <pivotFields count="13">
    <pivotField axis="axisRow" compact="0" outline="0" showAll="0" defaultSubtota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s>
    </pivotField>
    <pivotField compact="0" outline="0" showAll="0" defaultSubtotal="0"/>
    <pivotField axis="axisRow" compact="0" outline="0" showAll="0" defaultSubtotal="0">
      <items count="20">
        <item x="4"/>
        <item x="8"/>
        <item x="13"/>
        <item x="5"/>
        <item x="7"/>
        <item x="6"/>
        <item x="1"/>
        <item x="15"/>
        <item x="17"/>
        <item x="10"/>
        <item x="2"/>
        <item x="12"/>
        <item x="11"/>
        <item x="3"/>
        <item x="19"/>
        <item x="0"/>
        <item x="14"/>
        <item x="18"/>
        <item x="16"/>
        <item x="9"/>
      </items>
    </pivotField>
    <pivotField axis="axisRow" compact="0" outline="0" showAll="0" defaultSubtotal="0">
      <items count="21">
        <item x="12"/>
        <item x="6"/>
        <item x="5"/>
        <item x="1"/>
        <item x="13"/>
        <item x="20"/>
        <item x="2"/>
        <item x="4"/>
        <item x="8"/>
        <item x="14"/>
        <item x="15"/>
        <item x="16"/>
        <item x="9"/>
        <item x="17"/>
        <item x="10"/>
        <item x="7"/>
        <item x="0"/>
        <item x="3"/>
        <item x="19"/>
        <item x="18"/>
        <item x="11"/>
      </items>
    </pivotField>
    <pivotField axis="axisRow" compact="0" outline="0" showAll="0" defaultSubtotal="0">
      <items count="5">
        <item x="0"/>
        <item x="4"/>
        <item x="2"/>
        <item x="3"/>
        <item x="1"/>
      </items>
    </pivotField>
    <pivotField compact="0" outline="0" showAll="0" defaultSubtotal="0"/>
    <pivotField compact="0" outline="0" showAll="0" defaultSubtotal="0">
      <items count="4">
        <item x="2"/>
        <item x="0"/>
        <item x="3"/>
        <item x="1"/>
      </items>
    </pivotField>
    <pivotField compact="0" outline="0" showAll="0" defaultSubtotal="0">
      <items count="4">
        <item x="2"/>
        <item x="0"/>
        <item x="1"/>
        <item x="3"/>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12">
        <item x="10"/>
        <item x="7"/>
        <item x="6"/>
        <item x="2"/>
        <item x="0"/>
        <item x="9"/>
        <item x="4"/>
        <item x="3"/>
        <item x="5"/>
        <item x="1"/>
        <item x="11"/>
        <item x="8"/>
      </items>
    </pivotField>
  </pivotFields>
  <rowFields count="4">
    <field x="0"/>
    <field x="2"/>
    <field x="3"/>
    <field x="4"/>
  </rowFields>
  <rowItems count="501">
    <i>
      <x/>
      <x v="15"/>
      <x v="16"/>
      <x/>
    </i>
    <i>
      <x v="1"/>
      <x v="6"/>
      <x v="3"/>
      <x v="4"/>
    </i>
    <i>
      <x v="2"/>
      <x v="10"/>
      <x v="6"/>
      <x v="2"/>
    </i>
    <i>
      <x v="3"/>
      <x v="13"/>
      <x v="17"/>
      <x v="3"/>
    </i>
    <i>
      <x v="4"/>
      <x/>
      <x v="7"/>
      <x v="3"/>
    </i>
    <i>
      <x v="5"/>
      <x v="3"/>
      <x v="2"/>
      <x v="1"/>
    </i>
    <i>
      <x v="6"/>
      <x v="5"/>
      <x v="1"/>
      <x v="4"/>
    </i>
    <i>
      <x v="7"/>
      <x/>
      <x v="15"/>
      <x v="1"/>
    </i>
    <i>
      <x v="8"/>
      <x v="4"/>
      <x v="8"/>
      <x v="4"/>
    </i>
    <i>
      <x v="9"/>
      <x v="1"/>
      <x v="17"/>
      <x v="3"/>
    </i>
    <i>
      <x v="10"/>
      <x v="19"/>
      <x v="1"/>
      <x v="4"/>
    </i>
    <i>
      <x v="11"/>
      <x v="9"/>
      <x v="12"/>
      <x v="4"/>
    </i>
    <i>
      <x v="12"/>
      <x v="5"/>
      <x v="7"/>
      <x v="3"/>
    </i>
    <i>
      <x v="13"/>
      <x v="9"/>
      <x v="14"/>
      <x/>
    </i>
    <i>
      <x v="14"/>
      <x v="4"/>
      <x v="20"/>
      <x v="3"/>
    </i>
    <i>
      <x v="15"/>
      <x v="19"/>
      <x v="14"/>
      <x/>
    </i>
    <i>
      <x v="16"/>
      <x v="6"/>
      <x v="3"/>
      <x v="4"/>
    </i>
    <i>
      <x v="17"/>
      <x v="5"/>
      <x/>
      <x v="2"/>
    </i>
    <i>
      <x v="18"/>
      <x v="19"/>
      <x v="16"/>
      <x/>
    </i>
    <i>
      <x v="19"/>
      <x v="12"/>
      <x v="17"/>
      <x v="3"/>
    </i>
    <i>
      <x v="20"/>
      <x v="19"/>
      <x/>
      <x v="2"/>
    </i>
    <i>
      <x v="21"/>
      <x v="9"/>
      <x v="4"/>
      <x v="1"/>
    </i>
    <i>
      <x v="22"/>
      <x v="11"/>
      <x v="9"/>
      <x v="2"/>
    </i>
    <i>
      <x v="23"/>
      <x v="9"/>
      <x v="10"/>
      <x/>
    </i>
    <i>
      <x v="24"/>
      <x v="10"/>
      <x v="16"/>
      <x/>
    </i>
    <i>
      <x v="25"/>
      <x v="2"/>
      <x v="6"/>
      <x v="2"/>
    </i>
    <i>
      <x v="26"/>
      <x v="16"/>
      <x v="14"/>
      <x/>
    </i>
    <i>
      <x v="27"/>
      <x v="7"/>
      <x v="11"/>
      <x v="2"/>
    </i>
    <i>
      <x v="28"/>
      <x v="18"/>
      <x v="16"/>
      <x/>
    </i>
    <i>
      <x v="29"/>
      <x v="7"/>
      <x v="12"/>
      <x v="4"/>
    </i>
    <i>
      <x v="30"/>
      <x v="13"/>
      <x v="1"/>
      <x v="4"/>
    </i>
    <i>
      <x v="31"/>
      <x v="18"/>
      <x v="20"/>
      <x v="3"/>
    </i>
    <i>
      <x v="32"/>
      <x v="19"/>
      <x v="20"/>
      <x v="3"/>
    </i>
    <i>
      <x v="33"/>
      <x v="3"/>
      <x v="15"/>
      <x v="1"/>
    </i>
    <i>
      <x v="34"/>
      <x v="8"/>
      <x v="13"/>
      <x v="1"/>
    </i>
    <i>
      <x v="35"/>
      <x v="11"/>
      <x v="20"/>
      <x v="3"/>
    </i>
    <i>
      <x v="36"/>
      <x v="3"/>
      <x v="17"/>
      <x v="3"/>
    </i>
    <i>
      <x v="37"/>
      <x v="5"/>
      <x v="10"/>
      <x/>
    </i>
    <i>
      <x v="38"/>
      <x v="2"/>
      <x v="17"/>
      <x v="3"/>
    </i>
    <i>
      <x v="39"/>
      <x v="5"/>
      <x v="10"/>
      <x/>
    </i>
    <i>
      <x v="40"/>
      <x v="3"/>
      <x v="19"/>
      <x v="3"/>
    </i>
    <i>
      <x v="41"/>
      <x v="15"/>
      <x v="10"/>
      <x/>
    </i>
    <i>
      <x v="42"/>
      <x v="6"/>
      <x v="2"/>
      <x v="1"/>
    </i>
    <i>
      <x v="43"/>
      <x/>
      <x v="18"/>
      <x v="2"/>
    </i>
    <i>
      <x v="44"/>
      <x v="18"/>
      <x v="8"/>
      <x v="4"/>
    </i>
    <i>
      <x v="45"/>
      <x v="17"/>
      <x v="19"/>
      <x v="3"/>
    </i>
    <i>
      <x v="46"/>
      <x v="12"/>
      <x v="19"/>
      <x v="3"/>
    </i>
    <i>
      <x v="47"/>
      <x v="16"/>
      <x v="3"/>
      <x v="4"/>
    </i>
    <i>
      <x v="48"/>
      <x v="7"/>
      <x v="6"/>
      <x v="2"/>
    </i>
    <i>
      <x v="49"/>
      <x v="14"/>
      <x v="11"/>
      <x v="2"/>
    </i>
    <i>
      <x v="50"/>
      <x v="12"/>
      <x v="1"/>
      <x v="4"/>
    </i>
    <i>
      <x v="51"/>
      <x v="12"/>
      <x v="2"/>
      <x v="1"/>
    </i>
    <i>
      <x v="52"/>
      <x v="9"/>
      <x v="20"/>
      <x v="3"/>
    </i>
    <i>
      <x v="53"/>
      <x v="19"/>
      <x v="20"/>
      <x v="3"/>
    </i>
    <i>
      <x v="54"/>
      <x v="13"/>
      <x v="3"/>
      <x v="4"/>
    </i>
    <i>
      <x v="55"/>
      <x v="1"/>
      <x v="4"/>
      <x v="1"/>
    </i>
    <i>
      <x v="56"/>
      <x v="8"/>
      <x v="18"/>
      <x v="2"/>
    </i>
    <i>
      <x v="57"/>
      <x v="5"/>
      <x v="18"/>
      <x v="2"/>
    </i>
    <i>
      <x v="58"/>
      <x v="17"/>
      <x v="8"/>
      <x v="4"/>
    </i>
    <i>
      <x v="59"/>
      <x v="17"/>
      <x/>
      <x v="2"/>
    </i>
    <i>
      <x v="60"/>
      <x v="14"/>
      <x v="8"/>
      <x v="4"/>
    </i>
    <i>
      <x v="61"/>
      <x v="19"/>
      <x v="20"/>
      <x v="3"/>
    </i>
    <i>
      <x v="62"/>
      <x v="3"/>
      <x v="14"/>
      <x/>
    </i>
    <i>
      <x v="63"/>
      <x v="1"/>
      <x/>
      <x v="2"/>
    </i>
    <i>
      <x v="64"/>
      <x v="10"/>
      <x v="18"/>
      <x v="2"/>
    </i>
    <i>
      <x v="65"/>
      <x v="4"/>
      <x v="19"/>
      <x v="3"/>
    </i>
    <i>
      <x v="66"/>
      <x v="17"/>
      <x v="2"/>
      <x v="1"/>
    </i>
    <i>
      <x v="67"/>
      <x v="8"/>
      <x v="17"/>
      <x v="3"/>
    </i>
    <i>
      <x v="68"/>
      <x v="6"/>
      <x v="5"/>
      <x/>
    </i>
    <i>
      <x v="69"/>
      <x v="13"/>
      <x v="12"/>
      <x v="4"/>
    </i>
    <i>
      <x v="70"/>
      <x v="16"/>
      <x v="7"/>
      <x v="3"/>
    </i>
    <i>
      <x v="71"/>
      <x/>
      <x v="1"/>
      <x v="4"/>
    </i>
    <i>
      <x v="72"/>
      <x v="13"/>
      <x v="4"/>
      <x v="1"/>
    </i>
    <i>
      <x v="73"/>
      <x v="11"/>
      <x v="13"/>
      <x v="1"/>
    </i>
    <i>
      <x v="74"/>
      <x v="9"/>
      <x/>
      <x v="2"/>
    </i>
    <i>
      <x v="75"/>
      <x v="4"/>
      <x v="5"/>
      <x/>
    </i>
    <i>
      <x v="76"/>
      <x v="10"/>
      <x v="5"/>
      <x/>
    </i>
    <i>
      <x v="77"/>
      <x v="18"/>
      <x v="16"/>
      <x/>
    </i>
    <i>
      <x v="78"/>
      <x v="4"/>
      <x v="8"/>
      <x v="4"/>
    </i>
    <i>
      <x v="79"/>
      <x v="10"/>
      <x v="10"/>
      <x/>
    </i>
    <i>
      <x v="80"/>
      <x v="12"/>
      <x v="12"/>
      <x v="4"/>
    </i>
    <i>
      <x v="81"/>
      <x v="12"/>
      <x v="13"/>
      <x v="1"/>
    </i>
    <i>
      <x v="82"/>
      <x/>
      <x v="3"/>
      <x v="4"/>
    </i>
    <i>
      <x v="83"/>
      <x/>
      <x v="16"/>
      <x/>
    </i>
    <i>
      <x v="84"/>
      <x v="4"/>
      <x v="18"/>
      <x v="2"/>
    </i>
    <i>
      <x v="85"/>
      <x v="7"/>
      <x v="19"/>
      <x v="3"/>
    </i>
    <i>
      <x v="86"/>
      <x v="4"/>
      <x v="16"/>
      <x/>
    </i>
    <i>
      <x v="87"/>
      <x v="2"/>
      <x v="5"/>
      <x/>
    </i>
    <i>
      <x v="88"/>
      <x v="17"/>
      <x v="5"/>
      <x/>
    </i>
    <i>
      <x v="89"/>
      <x v="17"/>
      <x v="2"/>
      <x v="1"/>
    </i>
    <i>
      <x v="90"/>
      <x v="8"/>
      <x v="18"/>
      <x v="2"/>
    </i>
    <i>
      <x v="91"/>
      <x v="11"/>
      <x v="8"/>
      <x v="4"/>
    </i>
    <i>
      <x v="92"/>
      <x v="17"/>
      <x v="2"/>
      <x v="1"/>
    </i>
    <i>
      <x v="93"/>
      <x v="3"/>
      <x v="19"/>
      <x v="3"/>
    </i>
    <i>
      <x v="94"/>
      <x v="3"/>
      <x v="10"/>
      <x/>
    </i>
    <i>
      <x v="95"/>
      <x v="3"/>
      <x v="8"/>
      <x v="4"/>
    </i>
    <i>
      <x v="96"/>
      <x v="2"/>
      <x v="6"/>
      <x v="2"/>
    </i>
    <i>
      <x v="97"/>
      <x v="5"/>
      <x v="15"/>
      <x v="1"/>
    </i>
    <i>
      <x v="98"/>
      <x v="13"/>
      <x v="2"/>
      <x v="1"/>
    </i>
    <i>
      <x v="99"/>
      <x v="8"/>
      <x v="5"/>
      <x/>
    </i>
    <i>
      <x v="100"/>
      <x v="10"/>
      <x v="8"/>
      <x v="4"/>
    </i>
    <i>
      <x v="101"/>
      <x v="19"/>
      <x v="12"/>
      <x v="4"/>
    </i>
    <i>
      <x v="102"/>
      <x v="1"/>
      <x v="11"/>
      <x v="2"/>
    </i>
    <i>
      <x v="103"/>
      <x v="15"/>
      <x v="8"/>
      <x v="4"/>
    </i>
    <i>
      <x v="104"/>
      <x v="11"/>
      <x v="4"/>
      <x v="1"/>
    </i>
    <i>
      <x v="105"/>
      <x v="18"/>
      <x v="12"/>
      <x v="4"/>
    </i>
    <i>
      <x v="106"/>
      <x v="8"/>
      <x v="1"/>
      <x v="4"/>
    </i>
    <i>
      <x v="107"/>
      <x v="13"/>
      <x v="15"/>
      <x v="1"/>
    </i>
    <i>
      <x v="108"/>
      <x v="2"/>
      <x v="19"/>
      <x v="3"/>
    </i>
    <i>
      <x v="109"/>
      <x v="1"/>
      <x v="13"/>
      <x v="1"/>
    </i>
    <i>
      <x v="110"/>
      <x v="13"/>
      <x v="3"/>
      <x v="4"/>
    </i>
    <i>
      <x v="111"/>
      <x v="1"/>
      <x v="14"/>
      <x/>
    </i>
    <i>
      <x v="112"/>
      <x v="3"/>
      <x v="1"/>
      <x v="4"/>
    </i>
    <i>
      <x v="113"/>
      <x v="1"/>
      <x v="11"/>
      <x v="2"/>
    </i>
    <i>
      <x v="114"/>
      <x v="10"/>
      <x v="2"/>
      <x v="1"/>
    </i>
    <i>
      <x v="115"/>
      <x v="17"/>
      <x v="18"/>
      <x v="2"/>
    </i>
    <i>
      <x v="116"/>
      <x v="19"/>
      <x v="20"/>
      <x v="3"/>
    </i>
    <i>
      <x v="117"/>
      <x/>
      <x v="19"/>
      <x v="3"/>
    </i>
    <i>
      <x v="118"/>
      <x v="19"/>
      <x v="7"/>
      <x v="3"/>
    </i>
    <i>
      <x v="119"/>
      <x v="7"/>
      <x v="12"/>
      <x v="4"/>
    </i>
    <i>
      <x v="120"/>
      <x v="2"/>
      <x v="7"/>
      <x v="3"/>
    </i>
    <i>
      <x v="121"/>
      <x v="14"/>
      <x v="20"/>
      <x v="3"/>
    </i>
    <i>
      <x v="122"/>
      <x v="6"/>
      <x v="19"/>
      <x v="3"/>
    </i>
    <i>
      <x v="123"/>
      <x v="8"/>
      <x v="12"/>
      <x v="4"/>
    </i>
    <i>
      <x v="124"/>
      <x v="19"/>
      <x v="5"/>
      <x/>
    </i>
    <i>
      <x v="125"/>
      <x v="17"/>
      <x v="15"/>
      <x v="1"/>
    </i>
    <i>
      <x v="126"/>
      <x v="11"/>
      <x v="1"/>
      <x v="4"/>
    </i>
    <i>
      <x v="127"/>
      <x v="5"/>
      <x v="4"/>
      <x v="1"/>
    </i>
    <i>
      <x v="128"/>
      <x v="6"/>
      <x v="1"/>
      <x v="4"/>
    </i>
    <i>
      <x v="129"/>
      <x v="17"/>
      <x v="19"/>
      <x v="3"/>
    </i>
    <i>
      <x v="130"/>
      <x v="17"/>
      <x/>
      <x v="2"/>
    </i>
    <i>
      <x v="131"/>
      <x v="2"/>
      <x v="2"/>
      <x v="1"/>
    </i>
    <i>
      <x v="132"/>
      <x v="7"/>
      <x v="5"/>
      <x/>
    </i>
    <i>
      <x v="133"/>
      <x/>
      <x v="17"/>
      <x v="3"/>
    </i>
    <i>
      <x v="134"/>
      <x v="10"/>
      <x v="10"/>
      <x/>
    </i>
    <i>
      <x v="135"/>
      <x v="5"/>
      <x v="20"/>
      <x v="3"/>
    </i>
    <i>
      <x v="136"/>
      <x/>
      <x v="17"/>
      <x v="3"/>
    </i>
    <i>
      <x v="137"/>
      <x v="17"/>
      <x v="10"/>
      <x/>
    </i>
    <i>
      <x v="138"/>
      <x v="11"/>
      <x v="2"/>
      <x v="1"/>
    </i>
    <i>
      <x v="139"/>
      <x v="9"/>
      <x v="7"/>
      <x v="3"/>
    </i>
    <i>
      <x v="140"/>
      <x v="3"/>
      <x v="6"/>
      <x v="2"/>
    </i>
    <i>
      <x v="141"/>
      <x v="9"/>
      <x v="5"/>
      <x/>
    </i>
    <i>
      <x v="142"/>
      <x v="17"/>
      <x v="14"/>
      <x/>
    </i>
    <i>
      <x v="143"/>
      <x v="19"/>
      <x v="13"/>
      <x v="1"/>
    </i>
    <i>
      <x v="144"/>
      <x v="17"/>
      <x v="2"/>
      <x v="1"/>
    </i>
    <i>
      <x v="145"/>
      <x v="15"/>
      <x v="2"/>
      <x v="1"/>
    </i>
    <i>
      <x v="146"/>
      <x v="1"/>
      <x v="12"/>
      <x v="4"/>
    </i>
    <i>
      <x v="147"/>
      <x v="12"/>
      <x v="5"/>
      <x/>
    </i>
    <i>
      <x v="148"/>
      <x v="7"/>
      <x v="16"/>
      <x/>
    </i>
    <i>
      <x v="149"/>
      <x v="2"/>
      <x v="2"/>
      <x v="1"/>
    </i>
    <i>
      <x v="150"/>
      <x v="17"/>
      <x v="1"/>
      <x v="4"/>
    </i>
    <i>
      <x v="151"/>
      <x v="9"/>
      <x v="2"/>
      <x v="1"/>
    </i>
    <i>
      <x v="152"/>
      <x v="19"/>
      <x v="7"/>
      <x v="3"/>
    </i>
    <i>
      <x v="153"/>
      <x v="7"/>
      <x v="19"/>
      <x v="3"/>
    </i>
    <i>
      <x v="154"/>
      <x v="2"/>
      <x v="12"/>
      <x v="4"/>
    </i>
    <i>
      <x v="155"/>
      <x/>
      <x v="6"/>
      <x v="2"/>
    </i>
    <i>
      <x v="156"/>
      <x v="2"/>
      <x v="13"/>
      <x v="1"/>
    </i>
    <i>
      <x v="157"/>
      <x v="18"/>
      <x v="4"/>
      <x v="1"/>
    </i>
    <i>
      <x v="158"/>
      <x v="2"/>
      <x/>
      <x v="2"/>
    </i>
    <i>
      <x v="159"/>
      <x v="19"/>
      <x v="17"/>
      <x v="3"/>
    </i>
    <i>
      <x v="160"/>
      <x v="16"/>
      <x v="12"/>
      <x v="4"/>
    </i>
    <i>
      <x v="161"/>
      <x v="13"/>
      <x v="14"/>
      <x/>
    </i>
    <i>
      <x v="162"/>
      <x v="10"/>
      <x v="11"/>
      <x v="2"/>
    </i>
    <i>
      <x v="163"/>
      <x v="16"/>
      <x v="5"/>
      <x/>
    </i>
    <i>
      <x v="164"/>
      <x v="11"/>
      <x v="20"/>
      <x v="3"/>
    </i>
    <i>
      <x v="165"/>
      <x/>
      <x v="10"/>
      <x/>
    </i>
    <i>
      <x v="166"/>
      <x v="11"/>
      <x v="16"/>
      <x/>
    </i>
    <i>
      <x v="167"/>
      <x v="3"/>
      <x v="16"/>
      <x/>
    </i>
    <i>
      <x v="168"/>
      <x v="10"/>
      <x v="19"/>
      <x v="3"/>
    </i>
    <i>
      <x v="169"/>
      <x v="12"/>
      <x v="10"/>
      <x/>
    </i>
    <i>
      <x v="170"/>
      <x v="6"/>
      <x v="3"/>
      <x v="4"/>
    </i>
    <i>
      <x v="171"/>
      <x v="19"/>
      <x v="1"/>
      <x v="4"/>
    </i>
    <i>
      <x v="172"/>
      <x v="19"/>
      <x v="5"/>
      <x/>
    </i>
    <i>
      <x v="173"/>
      <x v="13"/>
      <x v="16"/>
      <x/>
    </i>
    <i>
      <x v="174"/>
      <x v="19"/>
      <x v="14"/>
      <x/>
    </i>
    <i>
      <x v="175"/>
      <x v="6"/>
      <x v="17"/>
      <x v="3"/>
    </i>
    <i>
      <x v="176"/>
      <x v="7"/>
      <x/>
      <x v="2"/>
    </i>
    <i>
      <x v="177"/>
      <x v="17"/>
      <x v="12"/>
      <x v="4"/>
    </i>
    <i>
      <x v="178"/>
      <x v="13"/>
      <x v="12"/>
      <x v="4"/>
    </i>
    <i>
      <x v="179"/>
      <x v="9"/>
      <x/>
      <x v="2"/>
    </i>
    <i>
      <x v="180"/>
      <x v="18"/>
      <x v="7"/>
      <x v="3"/>
    </i>
    <i>
      <x v="181"/>
      <x v="9"/>
      <x v="8"/>
      <x v="4"/>
    </i>
    <i>
      <x v="182"/>
      <x v="2"/>
      <x v="4"/>
      <x v="1"/>
    </i>
    <i>
      <x v="183"/>
      <x v="4"/>
      <x/>
      <x v="2"/>
    </i>
    <i>
      <x v="184"/>
      <x v="17"/>
      <x v="11"/>
      <x v="2"/>
    </i>
    <i>
      <x v="185"/>
      <x v="9"/>
      <x v="16"/>
      <x/>
    </i>
    <i>
      <x v="186"/>
      <x v="15"/>
      <x v="19"/>
      <x v="3"/>
    </i>
    <i>
      <x v="187"/>
      <x v="16"/>
      <x v="9"/>
      <x v="2"/>
    </i>
    <i>
      <x v="188"/>
      <x/>
      <x v="8"/>
      <x v="4"/>
    </i>
    <i>
      <x v="189"/>
      <x v="5"/>
      <x v="9"/>
      <x v="2"/>
    </i>
    <i>
      <x v="190"/>
      <x v="7"/>
      <x v="19"/>
      <x v="3"/>
    </i>
    <i>
      <x v="191"/>
      <x v="2"/>
      <x v="2"/>
      <x v="1"/>
    </i>
    <i>
      <x v="192"/>
      <x v="9"/>
      <x v="4"/>
      <x v="1"/>
    </i>
    <i>
      <x v="193"/>
      <x v="8"/>
      <x v="12"/>
      <x v="4"/>
    </i>
    <i>
      <x v="194"/>
      <x/>
      <x v="1"/>
      <x v="4"/>
    </i>
    <i>
      <x v="195"/>
      <x v="1"/>
      <x v="11"/>
      <x v="2"/>
    </i>
    <i>
      <x v="196"/>
      <x v="3"/>
      <x v="2"/>
      <x v="1"/>
    </i>
    <i>
      <x v="197"/>
      <x v="9"/>
      <x v="20"/>
      <x v="3"/>
    </i>
    <i>
      <x v="198"/>
      <x v="17"/>
      <x v="2"/>
      <x v="1"/>
    </i>
    <i>
      <x v="199"/>
      <x v="13"/>
      <x v="10"/>
      <x/>
    </i>
    <i>
      <x v="200"/>
      <x v="18"/>
      <x v="11"/>
      <x v="2"/>
    </i>
    <i>
      <x v="201"/>
      <x v="4"/>
      <x v="14"/>
      <x/>
    </i>
    <i>
      <x v="202"/>
      <x v="3"/>
      <x v="14"/>
      <x/>
    </i>
    <i>
      <x v="203"/>
      <x v="14"/>
      <x v="3"/>
      <x v="4"/>
    </i>
    <i>
      <x v="204"/>
      <x v="15"/>
      <x v="10"/>
      <x/>
    </i>
    <i>
      <x v="205"/>
      <x/>
      <x v="12"/>
      <x v="4"/>
    </i>
    <i>
      <x v="206"/>
      <x v="15"/>
      <x v="6"/>
      <x v="2"/>
    </i>
    <i>
      <x v="207"/>
      <x v="12"/>
      <x v="10"/>
      <x/>
    </i>
    <i>
      <x v="208"/>
      <x v="18"/>
      <x v="12"/>
      <x v="4"/>
    </i>
    <i>
      <x v="209"/>
      <x v="6"/>
      <x v="6"/>
      <x v="2"/>
    </i>
    <i>
      <x v="210"/>
      <x v="8"/>
      <x v="16"/>
      <x/>
    </i>
    <i>
      <x v="211"/>
      <x v="10"/>
      <x v="19"/>
      <x v="3"/>
    </i>
    <i>
      <x v="212"/>
      <x v="17"/>
      <x v="7"/>
      <x v="3"/>
    </i>
    <i>
      <x v="213"/>
      <x v="17"/>
      <x v="16"/>
      <x/>
    </i>
    <i>
      <x v="214"/>
      <x v="9"/>
      <x v="6"/>
      <x v="2"/>
    </i>
    <i>
      <x v="215"/>
      <x v="4"/>
      <x v="17"/>
      <x v="3"/>
    </i>
    <i>
      <x v="216"/>
      <x v="8"/>
      <x v="17"/>
      <x v="3"/>
    </i>
    <i>
      <x v="217"/>
      <x v="3"/>
      <x v="12"/>
      <x v="4"/>
    </i>
    <i>
      <x v="218"/>
      <x v="8"/>
      <x v="7"/>
      <x v="3"/>
    </i>
    <i>
      <x v="219"/>
      <x/>
      <x v="1"/>
      <x v="4"/>
    </i>
    <i>
      <x v="220"/>
      <x v="15"/>
      <x v="13"/>
      <x v="1"/>
    </i>
    <i>
      <x v="221"/>
      <x v="7"/>
      <x v="10"/>
      <x/>
    </i>
    <i>
      <x v="222"/>
      <x v="10"/>
      <x v="16"/>
      <x/>
    </i>
    <i>
      <x v="223"/>
      <x v="10"/>
      <x v="17"/>
      <x v="3"/>
    </i>
    <i>
      <x v="224"/>
      <x v="9"/>
      <x v="20"/>
      <x v="3"/>
    </i>
    <i>
      <x v="225"/>
      <x v="12"/>
      <x v="20"/>
      <x v="3"/>
    </i>
    <i>
      <x v="226"/>
      <x v="5"/>
      <x v="12"/>
      <x v="4"/>
    </i>
    <i>
      <x v="227"/>
      <x v="5"/>
      <x v="15"/>
      <x v="1"/>
    </i>
    <i>
      <x v="228"/>
      <x v="17"/>
      <x v="2"/>
      <x v="1"/>
    </i>
    <i>
      <x v="229"/>
      <x v="19"/>
      <x v="6"/>
      <x v="2"/>
    </i>
    <i>
      <x v="230"/>
      <x v="2"/>
      <x v="11"/>
      <x v="2"/>
    </i>
    <i>
      <x v="231"/>
      <x/>
      <x v="11"/>
      <x v="2"/>
    </i>
    <i>
      <x v="232"/>
      <x v="8"/>
      <x v="4"/>
      <x v="1"/>
    </i>
    <i>
      <x v="233"/>
      <x v="18"/>
      <x v="13"/>
      <x v="1"/>
    </i>
    <i>
      <x v="234"/>
      <x v="13"/>
      <x v="8"/>
      <x v="4"/>
    </i>
    <i>
      <x v="235"/>
      <x v="15"/>
      <x v="16"/>
      <x/>
    </i>
    <i>
      <x v="236"/>
      <x v="13"/>
      <x v="13"/>
      <x v="1"/>
    </i>
    <i>
      <x v="237"/>
      <x v="14"/>
      <x v="20"/>
      <x v="3"/>
    </i>
    <i>
      <x v="238"/>
      <x v="19"/>
      <x v="4"/>
      <x v="1"/>
    </i>
    <i>
      <x v="239"/>
      <x v="5"/>
      <x/>
      <x v="2"/>
    </i>
    <i>
      <x v="240"/>
      <x v="9"/>
      <x v="5"/>
      <x/>
    </i>
    <i>
      <x v="241"/>
      <x v="4"/>
      <x v="7"/>
      <x v="3"/>
    </i>
    <i>
      <x v="242"/>
      <x v="17"/>
      <x v="15"/>
      <x v="1"/>
    </i>
    <i>
      <x v="243"/>
      <x v="4"/>
      <x v="20"/>
      <x v="3"/>
    </i>
    <i>
      <x v="244"/>
      <x v="5"/>
      <x v="3"/>
      <x v="4"/>
    </i>
    <i>
      <x v="245"/>
      <x v="16"/>
      <x v="4"/>
      <x v="1"/>
    </i>
    <i>
      <x v="246"/>
      <x v="17"/>
      <x v="11"/>
      <x v="2"/>
    </i>
    <i>
      <x v="247"/>
      <x v="13"/>
      <x v="2"/>
      <x v="1"/>
    </i>
    <i>
      <x v="248"/>
      <x v="14"/>
      <x v="3"/>
      <x v="4"/>
    </i>
    <i>
      <x v="249"/>
      <x v="16"/>
      <x v="8"/>
      <x v="4"/>
    </i>
    <i>
      <x v="250"/>
      <x v="2"/>
      <x v="4"/>
      <x v="1"/>
    </i>
    <i>
      <x v="251"/>
      <x v="2"/>
      <x/>
      <x v="2"/>
    </i>
    <i>
      <x v="252"/>
      <x v="5"/>
      <x v="20"/>
      <x v="3"/>
    </i>
    <i>
      <x v="253"/>
      <x v="12"/>
      <x v="1"/>
      <x v="4"/>
    </i>
    <i>
      <x v="254"/>
      <x v="12"/>
      <x v="15"/>
      <x v="1"/>
    </i>
    <i>
      <x v="255"/>
      <x v="9"/>
      <x v="14"/>
      <x/>
    </i>
    <i>
      <x v="256"/>
      <x v="18"/>
      <x v="19"/>
      <x v="3"/>
    </i>
    <i>
      <x v="257"/>
      <x v="11"/>
      <x v="1"/>
      <x v="4"/>
    </i>
    <i>
      <x v="258"/>
      <x v="19"/>
      <x v="17"/>
      <x v="3"/>
    </i>
    <i>
      <x v="259"/>
      <x v="1"/>
      <x v="9"/>
      <x v="2"/>
    </i>
    <i>
      <x v="260"/>
      <x v="11"/>
      <x v="20"/>
      <x v="3"/>
    </i>
    <i>
      <x v="261"/>
      <x v="19"/>
      <x v="15"/>
      <x v="1"/>
    </i>
    <i>
      <x v="262"/>
      <x v="15"/>
      <x v="7"/>
      <x v="3"/>
    </i>
    <i>
      <x v="263"/>
      <x/>
      <x v="13"/>
      <x v="1"/>
    </i>
    <i>
      <x v="264"/>
      <x v="15"/>
      <x v="16"/>
      <x/>
    </i>
    <i>
      <x v="265"/>
      <x v="16"/>
      <x v="1"/>
      <x v="4"/>
    </i>
    <i>
      <x v="266"/>
      <x v="17"/>
      <x v="12"/>
      <x v="4"/>
    </i>
    <i>
      <x v="267"/>
      <x v="8"/>
      <x v="16"/>
      <x/>
    </i>
    <i>
      <x v="268"/>
      <x v="15"/>
      <x v="16"/>
      <x/>
    </i>
    <i>
      <x v="269"/>
      <x v="12"/>
      <x/>
      <x v="2"/>
    </i>
    <i>
      <x v="270"/>
      <x v="6"/>
      <x v="13"/>
      <x v="1"/>
    </i>
    <i>
      <x v="271"/>
      <x v="17"/>
      <x v="3"/>
      <x v="4"/>
    </i>
    <i>
      <x v="272"/>
      <x v="15"/>
      <x v="3"/>
      <x v="4"/>
    </i>
    <i>
      <x v="273"/>
      <x v="3"/>
      <x v="19"/>
      <x v="3"/>
    </i>
    <i>
      <x v="274"/>
      <x v="18"/>
      <x v="20"/>
      <x v="3"/>
    </i>
    <i>
      <x v="275"/>
      <x v="17"/>
      <x v="1"/>
      <x v="4"/>
    </i>
    <i>
      <x v="276"/>
      <x v="4"/>
      <x v="17"/>
      <x v="3"/>
    </i>
    <i>
      <x v="277"/>
      <x v="17"/>
      <x v="2"/>
      <x v="1"/>
    </i>
    <i>
      <x v="278"/>
      <x v="9"/>
      <x v="3"/>
      <x v="4"/>
    </i>
    <i>
      <x v="279"/>
      <x v="12"/>
      <x v="12"/>
      <x v="4"/>
    </i>
    <i>
      <x v="280"/>
      <x v="14"/>
      <x v="19"/>
      <x v="3"/>
    </i>
    <i>
      <x v="281"/>
      <x v="9"/>
      <x v="15"/>
      <x v="1"/>
    </i>
    <i>
      <x v="282"/>
      <x v="13"/>
      <x v="3"/>
      <x v="4"/>
    </i>
    <i>
      <x v="283"/>
      <x v="9"/>
      <x v="5"/>
      <x/>
    </i>
    <i>
      <x v="284"/>
      <x/>
      <x v="10"/>
      <x/>
    </i>
    <i>
      <x v="285"/>
      <x v="3"/>
      <x v="12"/>
      <x v="4"/>
    </i>
    <i>
      <x v="286"/>
      <x v="10"/>
      <x v="1"/>
      <x v="4"/>
    </i>
    <i>
      <x v="287"/>
      <x v="18"/>
      <x v="1"/>
      <x v="4"/>
    </i>
    <i>
      <x v="288"/>
      <x v="4"/>
      <x v="6"/>
      <x v="2"/>
    </i>
    <i>
      <x v="289"/>
      <x v="11"/>
      <x v="15"/>
      <x v="1"/>
    </i>
    <i>
      <x v="290"/>
      <x v="19"/>
      <x v="5"/>
      <x/>
    </i>
    <i>
      <x v="291"/>
      <x v="19"/>
      <x v="14"/>
      <x/>
    </i>
    <i>
      <x v="292"/>
      <x v="15"/>
      <x v="18"/>
      <x v="2"/>
    </i>
    <i>
      <x v="293"/>
      <x/>
      <x v="3"/>
      <x v="4"/>
    </i>
    <i>
      <x v="294"/>
      <x v="1"/>
      <x v="20"/>
      <x v="3"/>
    </i>
    <i>
      <x v="295"/>
      <x v="14"/>
      <x v="12"/>
      <x v="4"/>
    </i>
    <i>
      <x v="296"/>
      <x v="9"/>
      <x v="15"/>
      <x v="1"/>
    </i>
    <i>
      <x v="297"/>
      <x v="14"/>
      <x v="9"/>
      <x v="2"/>
    </i>
    <i>
      <x v="298"/>
      <x v="6"/>
      <x v="18"/>
      <x v="2"/>
    </i>
    <i>
      <x v="299"/>
      <x v="16"/>
      <x v="2"/>
      <x v="1"/>
    </i>
    <i>
      <x v="300"/>
      <x v="11"/>
      <x v="3"/>
      <x v="4"/>
    </i>
    <i>
      <x v="301"/>
      <x v="1"/>
      <x v="12"/>
      <x v="4"/>
    </i>
    <i>
      <x v="302"/>
      <x v="16"/>
      <x v="18"/>
      <x v="2"/>
    </i>
    <i>
      <x v="303"/>
      <x v="3"/>
      <x v="19"/>
      <x v="3"/>
    </i>
    <i>
      <x v="304"/>
      <x v="5"/>
      <x v="5"/>
      <x/>
    </i>
    <i>
      <x v="305"/>
      <x v="8"/>
      <x v="19"/>
      <x v="3"/>
    </i>
    <i>
      <x v="306"/>
      <x v="17"/>
      <x v="1"/>
      <x v="4"/>
    </i>
    <i>
      <x v="307"/>
      <x v="1"/>
      <x v="20"/>
      <x v="3"/>
    </i>
    <i>
      <x v="308"/>
      <x v="19"/>
      <x v="14"/>
      <x/>
    </i>
    <i>
      <x v="309"/>
      <x v="6"/>
      <x v="19"/>
      <x v="3"/>
    </i>
    <i>
      <x v="310"/>
      <x v="1"/>
      <x v="3"/>
      <x v="4"/>
    </i>
    <i>
      <x v="311"/>
      <x v="11"/>
      <x v="17"/>
      <x v="3"/>
    </i>
    <i>
      <x v="312"/>
      <x v="16"/>
      <x v="8"/>
      <x v="4"/>
    </i>
    <i>
      <x v="313"/>
      <x v="14"/>
      <x v="8"/>
      <x v="4"/>
    </i>
    <i>
      <x v="314"/>
      <x v="3"/>
      <x v="9"/>
      <x v="2"/>
    </i>
    <i>
      <x v="315"/>
      <x v="2"/>
      <x v="4"/>
      <x v="1"/>
    </i>
    <i>
      <x v="316"/>
      <x v="19"/>
      <x v="2"/>
      <x v="1"/>
    </i>
    <i>
      <x v="317"/>
      <x v="6"/>
      <x v="9"/>
      <x v="2"/>
    </i>
    <i>
      <x v="318"/>
      <x v="10"/>
      <x v="14"/>
      <x/>
    </i>
    <i>
      <x v="319"/>
      <x v="19"/>
      <x v="13"/>
      <x v="1"/>
    </i>
    <i>
      <x v="320"/>
      <x v="9"/>
      <x v="11"/>
      <x v="2"/>
    </i>
    <i>
      <x v="321"/>
      <x v="8"/>
      <x v="5"/>
      <x/>
    </i>
    <i>
      <x v="322"/>
      <x v="12"/>
      <x v="17"/>
      <x v="3"/>
    </i>
    <i>
      <x v="323"/>
      <x v="16"/>
      <x v="7"/>
      <x v="3"/>
    </i>
    <i>
      <x v="324"/>
      <x v="19"/>
      <x v="4"/>
      <x v="1"/>
    </i>
    <i>
      <x v="325"/>
      <x v="3"/>
      <x v="3"/>
      <x v="4"/>
    </i>
    <i>
      <x v="326"/>
      <x v="17"/>
      <x v="8"/>
      <x v="4"/>
    </i>
    <i>
      <x v="327"/>
      <x v="12"/>
      <x v="2"/>
      <x v="1"/>
    </i>
    <i>
      <x v="328"/>
      <x v="5"/>
      <x v="2"/>
      <x v="1"/>
    </i>
    <i>
      <x v="329"/>
      <x v="18"/>
      <x v="6"/>
      <x v="2"/>
    </i>
    <i>
      <x v="330"/>
      <x v="4"/>
      <x v="7"/>
      <x v="3"/>
    </i>
    <i>
      <x v="331"/>
      <x v="5"/>
      <x v="11"/>
      <x v="2"/>
    </i>
    <i>
      <x v="332"/>
      <x v="6"/>
      <x v="11"/>
      <x v="2"/>
    </i>
    <i>
      <x v="333"/>
      <x/>
      <x v="8"/>
      <x v="4"/>
    </i>
    <i>
      <x v="334"/>
      <x v="19"/>
      <x v="7"/>
      <x v="3"/>
    </i>
    <i>
      <x v="335"/>
      <x v="4"/>
      <x v="16"/>
      <x/>
    </i>
    <i>
      <x v="336"/>
      <x v="15"/>
      <x v="7"/>
      <x v="3"/>
    </i>
    <i>
      <x v="337"/>
      <x v="5"/>
      <x v="20"/>
      <x v="3"/>
    </i>
    <i>
      <x v="338"/>
      <x v="11"/>
      <x v="19"/>
      <x v="3"/>
    </i>
    <i>
      <x v="339"/>
      <x v="9"/>
      <x v="17"/>
      <x v="3"/>
    </i>
    <i>
      <x v="340"/>
      <x v="11"/>
      <x v="8"/>
      <x v="4"/>
    </i>
    <i>
      <x v="341"/>
      <x v="12"/>
      <x v="1"/>
      <x v="4"/>
    </i>
    <i>
      <x v="342"/>
      <x v="15"/>
      <x v="9"/>
      <x v="2"/>
    </i>
    <i>
      <x v="343"/>
      <x v="17"/>
      <x v="10"/>
      <x/>
    </i>
    <i>
      <x v="344"/>
      <x v="3"/>
      <x/>
      <x v="2"/>
    </i>
    <i>
      <x v="345"/>
      <x v="9"/>
      <x v="2"/>
      <x v="1"/>
    </i>
    <i>
      <x v="346"/>
      <x v="6"/>
      <x v="7"/>
      <x v="3"/>
    </i>
    <i>
      <x v="347"/>
      <x/>
      <x v="13"/>
      <x v="1"/>
    </i>
    <i>
      <x v="348"/>
      <x v="8"/>
      <x v="6"/>
      <x v="2"/>
    </i>
    <i>
      <x v="349"/>
      <x v="14"/>
      <x v="7"/>
      <x v="3"/>
    </i>
    <i>
      <x v="350"/>
      <x v="8"/>
      <x/>
      <x v="2"/>
    </i>
    <i>
      <x v="351"/>
      <x v="9"/>
      <x v="5"/>
      <x/>
    </i>
    <i>
      <x v="352"/>
      <x v="4"/>
      <x v="7"/>
      <x v="3"/>
    </i>
    <i>
      <x v="353"/>
      <x v="15"/>
      <x v="10"/>
      <x/>
    </i>
    <i>
      <x v="354"/>
      <x v="13"/>
      <x v="17"/>
      <x v="3"/>
    </i>
    <i>
      <x v="355"/>
      <x v="9"/>
      <x v="14"/>
      <x/>
    </i>
    <i>
      <x v="356"/>
      <x v="6"/>
      <x v="1"/>
      <x v="4"/>
    </i>
    <i>
      <x v="357"/>
      <x v="3"/>
      <x v="18"/>
      <x v="2"/>
    </i>
    <i>
      <x v="358"/>
      <x v="15"/>
      <x v="20"/>
      <x v="3"/>
    </i>
    <i>
      <x v="359"/>
      <x v="8"/>
      <x v="9"/>
      <x v="2"/>
    </i>
    <i>
      <x v="360"/>
      <x v="19"/>
      <x v="11"/>
      <x v="2"/>
    </i>
    <i>
      <x v="361"/>
      <x v="17"/>
      <x v="2"/>
      <x v="1"/>
    </i>
    <i>
      <x v="362"/>
      <x v="17"/>
      <x v="14"/>
      <x/>
    </i>
    <i>
      <x v="363"/>
      <x v="16"/>
      <x v="10"/>
      <x/>
    </i>
    <i>
      <x v="364"/>
      <x v="5"/>
      <x v="9"/>
      <x v="2"/>
    </i>
    <i>
      <x v="365"/>
      <x v="17"/>
      <x v="5"/>
      <x/>
    </i>
    <i>
      <x v="366"/>
      <x v="1"/>
      <x v="4"/>
      <x v="1"/>
    </i>
    <i>
      <x v="367"/>
      <x v="17"/>
      <x v="14"/>
      <x/>
    </i>
    <i>
      <x v="368"/>
      <x v="12"/>
      <x v="1"/>
      <x v="4"/>
    </i>
    <i>
      <x v="369"/>
      <x v="4"/>
      <x v="4"/>
      <x v="1"/>
    </i>
    <i>
      <x v="370"/>
      <x v="9"/>
      <x v="2"/>
      <x v="1"/>
    </i>
    <i>
      <x v="371"/>
      <x v="2"/>
      <x v="4"/>
      <x v="1"/>
    </i>
    <i>
      <x v="372"/>
      <x v="11"/>
      <x/>
      <x v="2"/>
    </i>
    <i>
      <x v="373"/>
      <x v="5"/>
      <x v="15"/>
      <x v="1"/>
    </i>
    <i>
      <x v="374"/>
      <x v="6"/>
      <x v="18"/>
      <x v="2"/>
    </i>
    <i>
      <x v="375"/>
      <x/>
      <x/>
      <x v="2"/>
    </i>
    <i>
      <x v="376"/>
      <x v="7"/>
      <x v="12"/>
      <x v="4"/>
    </i>
    <i>
      <x v="377"/>
      <x v="14"/>
      <x v="19"/>
      <x v="3"/>
    </i>
    <i>
      <x v="378"/>
      <x v="17"/>
      <x v="20"/>
      <x v="3"/>
    </i>
    <i>
      <x v="379"/>
      <x v="14"/>
      <x v="20"/>
      <x v="3"/>
    </i>
    <i>
      <x v="380"/>
      <x v="8"/>
      <x v="11"/>
      <x v="2"/>
    </i>
    <i>
      <x v="381"/>
      <x v="8"/>
      <x v="12"/>
      <x v="4"/>
    </i>
    <i>
      <x v="382"/>
      <x v="3"/>
      <x v="13"/>
      <x v="1"/>
    </i>
    <i>
      <x v="383"/>
      <x v="13"/>
      <x v="4"/>
      <x v="1"/>
    </i>
    <i>
      <x v="384"/>
      <x v="2"/>
      <x v="15"/>
      <x v="1"/>
    </i>
    <i>
      <x v="385"/>
      <x v="10"/>
      <x v="20"/>
      <x v="3"/>
    </i>
    <i>
      <x v="386"/>
      <x v="6"/>
      <x v="9"/>
      <x v="2"/>
    </i>
    <i>
      <x v="387"/>
      <x v="13"/>
      <x v="7"/>
      <x v="3"/>
    </i>
    <i>
      <x v="388"/>
      <x v="16"/>
      <x v="11"/>
      <x v="2"/>
    </i>
    <i>
      <x v="389"/>
      <x/>
      <x v="1"/>
      <x v="4"/>
    </i>
    <i>
      <x v="390"/>
      <x v="7"/>
      <x v="16"/>
      <x/>
    </i>
    <i>
      <x v="391"/>
      <x v="17"/>
      <x v="4"/>
      <x v="1"/>
    </i>
    <i>
      <x v="392"/>
      <x v="8"/>
      <x v="15"/>
      <x v="1"/>
    </i>
    <i>
      <x v="393"/>
      <x v="7"/>
      <x v="17"/>
      <x v="3"/>
    </i>
    <i>
      <x v="394"/>
      <x v="17"/>
      <x v="5"/>
      <x/>
    </i>
    <i>
      <x v="395"/>
      <x v="7"/>
      <x v="17"/>
      <x v="3"/>
    </i>
    <i>
      <x v="396"/>
      <x v="4"/>
      <x v="17"/>
      <x v="3"/>
    </i>
    <i>
      <x v="397"/>
      <x v="4"/>
      <x v="10"/>
      <x/>
    </i>
    <i>
      <x v="398"/>
      <x v="4"/>
      <x v="1"/>
      <x v="4"/>
    </i>
    <i>
      <x v="399"/>
      <x v="5"/>
      <x v="9"/>
      <x v="2"/>
    </i>
    <i>
      <x v="400"/>
      <x v="10"/>
      <x v="18"/>
      <x v="2"/>
    </i>
    <i>
      <x v="401"/>
      <x v="5"/>
      <x v="2"/>
      <x v="1"/>
    </i>
    <i>
      <x v="402"/>
      <x v="3"/>
      <x v="10"/>
      <x/>
    </i>
    <i>
      <x v="403"/>
      <x v="7"/>
      <x v="20"/>
      <x v="3"/>
    </i>
    <i>
      <x v="404"/>
      <x v="9"/>
      <x v="17"/>
      <x v="3"/>
    </i>
    <i>
      <x v="405"/>
      <x v="5"/>
      <x v="5"/>
      <x/>
    </i>
    <i>
      <x v="406"/>
      <x v="17"/>
      <x v="18"/>
      <x v="2"/>
    </i>
    <i>
      <x v="407"/>
      <x v="14"/>
      <x v="15"/>
      <x v="1"/>
    </i>
    <i>
      <x v="408"/>
      <x v="10"/>
      <x v="1"/>
      <x v="4"/>
    </i>
    <i>
      <x v="409"/>
      <x v="3"/>
      <x v="1"/>
      <x v="4"/>
    </i>
    <i>
      <x v="410"/>
      <x v="1"/>
      <x v="2"/>
      <x v="1"/>
    </i>
    <i>
      <x v="411"/>
      <x/>
      <x v="2"/>
      <x v="1"/>
    </i>
    <i>
      <x v="412"/>
      <x v="11"/>
      <x v="8"/>
      <x v="4"/>
    </i>
    <i>
      <x v="413"/>
      <x v="1"/>
      <x v="16"/>
      <x/>
    </i>
    <i>
      <x v="414"/>
      <x/>
      <x v="3"/>
      <x v="4"/>
    </i>
    <i>
      <x v="415"/>
      <x/>
      <x v="20"/>
      <x v="3"/>
    </i>
    <i>
      <x v="416"/>
      <x v="1"/>
      <x v="10"/>
      <x/>
    </i>
    <i>
      <x v="417"/>
      <x v="8"/>
      <x v="6"/>
      <x v="2"/>
    </i>
    <i>
      <x v="418"/>
      <x v="3"/>
      <x v="2"/>
      <x v="1"/>
    </i>
    <i>
      <x v="419"/>
      <x v="9"/>
      <x v="4"/>
      <x v="1"/>
    </i>
    <i>
      <x v="420"/>
      <x v="4"/>
      <x v="7"/>
      <x v="3"/>
    </i>
    <i>
      <x v="421"/>
      <x v="5"/>
      <x v="1"/>
      <x v="4"/>
    </i>
    <i>
      <x v="422"/>
      <x v="7"/>
      <x v="18"/>
      <x v="2"/>
    </i>
    <i>
      <x v="423"/>
      <x v="19"/>
      <x v="13"/>
      <x v="1"/>
    </i>
    <i>
      <x v="424"/>
      <x v="18"/>
      <x v="12"/>
      <x v="4"/>
    </i>
    <i>
      <x v="425"/>
      <x v="6"/>
      <x v="13"/>
      <x v="1"/>
    </i>
    <i>
      <x v="426"/>
      <x v="8"/>
      <x v="2"/>
      <x v="1"/>
    </i>
    <i>
      <x v="427"/>
      <x v="3"/>
      <x v="16"/>
      <x/>
    </i>
    <i>
      <x v="428"/>
      <x v="16"/>
      <x v="17"/>
      <x v="3"/>
    </i>
    <i>
      <x v="429"/>
      <x v="14"/>
      <x/>
      <x v="2"/>
    </i>
    <i>
      <x v="430"/>
      <x v="1"/>
      <x v="4"/>
      <x v="1"/>
    </i>
    <i>
      <x v="431"/>
      <x v="15"/>
      <x v="12"/>
      <x v="4"/>
    </i>
    <i>
      <x v="432"/>
      <x v="19"/>
      <x v="9"/>
      <x v="2"/>
    </i>
    <i>
      <x v="433"/>
      <x v="4"/>
      <x v="10"/>
      <x/>
    </i>
    <i>
      <x v="434"/>
      <x v="5"/>
      <x v="16"/>
      <x/>
    </i>
    <i>
      <x v="435"/>
      <x v="7"/>
      <x v="13"/>
      <x v="1"/>
    </i>
    <i>
      <x v="436"/>
      <x v="6"/>
      <x v="13"/>
      <x v="1"/>
    </i>
    <i>
      <x v="437"/>
      <x/>
      <x v="19"/>
      <x v="3"/>
    </i>
    <i>
      <x v="438"/>
      <x/>
      <x v="17"/>
      <x v="3"/>
    </i>
    <i>
      <x v="439"/>
      <x v="10"/>
      <x v="4"/>
      <x v="1"/>
    </i>
    <i>
      <x v="440"/>
      <x v="6"/>
      <x v="2"/>
      <x v="1"/>
    </i>
    <i>
      <x v="441"/>
      <x v="2"/>
      <x v="14"/>
      <x/>
    </i>
    <i>
      <x v="442"/>
      <x v="6"/>
      <x v="19"/>
      <x v="3"/>
    </i>
    <i>
      <x v="443"/>
      <x v="12"/>
      <x v="19"/>
      <x v="3"/>
    </i>
    <i>
      <x v="444"/>
      <x v="5"/>
      <x v="20"/>
      <x v="3"/>
    </i>
    <i>
      <x v="445"/>
      <x v="5"/>
      <x v="20"/>
      <x v="3"/>
    </i>
    <i>
      <x v="446"/>
      <x v="8"/>
      <x v="17"/>
      <x v="3"/>
    </i>
    <i>
      <x v="447"/>
      <x v="15"/>
      <x v="3"/>
      <x v="4"/>
    </i>
    <i>
      <x v="448"/>
      <x v="19"/>
      <x v="17"/>
      <x v="3"/>
    </i>
    <i>
      <x v="449"/>
      <x v="10"/>
      <x/>
      <x v="2"/>
    </i>
    <i>
      <x v="450"/>
      <x v="9"/>
      <x v="17"/>
      <x v="3"/>
    </i>
    <i>
      <x v="451"/>
      <x v="16"/>
      <x v="4"/>
      <x v="1"/>
    </i>
    <i>
      <x v="452"/>
      <x v="13"/>
      <x v="1"/>
      <x v="4"/>
    </i>
    <i>
      <x v="453"/>
      <x v="9"/>
      <x v="9"/>
      <x v="2"/>
    </i>
    <i>
      <x v="454"/>
      <x v="18"/>
      <x v="20"/>
      <x v="3"/>
    </i>
    <i>
      <x v="455"/>
      <x v="13"/>
      <x v="20"/>
      <x v="3"/>
    </i>
    <i>
      <x v="456"/>
      <x v="6"/>
      <x/>
      <x v="2"/>
    </i>
    <i>
      <x v="457"/>
      <x v="7"/>
      <x v="18"/>
      <x v="2"/>
    </i>
    <i>
      <x v="458"/>
      <x v="1"/>
      <x v="12"/>
      <x v="4"/>
    </i>
    <i>
      <x v="459"/>
      <x v="9"/>
      <x v="7"/>
      <x v="3"/>
    </i>
    <i>
      <x v="460"/>
      <x v="12"/>
      <x v="19"/>
      <x v="3"/>
    </i>
    <i>
      <x v="461"/>
      <x v="7"/>
      <x v="8"/>
      <x v="4"/>
    </i>
    <i>
      <x v="462"/>
      <x v="14"/>
      <x/>
      <x v="2"/>
    </i>
    <i>
      <x v="463"/>
      <x v="13"/>
      <x v="7"/>
      <x v="3"/>
    </i>
    <i>
      <x v="464"/>
      <x v="14"/>
      <x v="8"/>
      <x v="4"/>
    </i>
    <i>
      <x v="465"/>
      <x v="1"/>
      <x v="8"/>
      <x v="4"/>
    </i>
    <i>
      <x v="466"/>
      <x/>
      <x v="5"/>
      <x/>
    </i>
    <i>
      <x v="467"/>
      <x v="6"/>
      <x v="8"/>
      <x v="4"/>
    </i>
    <i>
      <x v="468"/>
      <x v="10"/>
      <x/>
      <x v="2"/>
    </i>
    <i>
      <x v="469"/>
      <x v="12"/>
      <x v="12"/>
      <x v="4"/>
    </i>
    <i>
      <x v="470"/>
      <x v="4"/>
      <x v="1"/>
      <x v="4"/>
    </i>
    <i>
      <x v="471"/>
      <x v="1"/>
      <x v="13"/>
      <x v="1"/>
    </i>
    <i>
      <x v="472"/>
      <x v="18"/>
      <x v="9"/>
      <x v="2"/>
    </i>
    <i>
      <x v="473"/>
      <x v="12"/>
      <x v="10"/>
      <x/>
    </i>
    <i>
      <x v="474"/>
      <x v="5"/>
      <x v="16"/>
      <x/>
    </i>
    <i>
      <x v="475"/>
      <x v="9"/>
      <x v="12"/>
      <x v="4"/>
    </i>
    <i>
      <x v="476"/>
      <x v="18"/>
      <x v="8"/>
      <x v="4"/>
    </i>
    <i>
      <x v="477"/>
      <x v="4"/>
      <x v="17"/>
      <x v="3"/>
    </i>
    <i>
      <x v="478"/>
      <x v="7"/>
      <x v="1"/>
      <x v="4"/>
    </i>
    <i>
      <x v="479"/>
      <x v="19"/>
      <x v="10"/>
      <x/>
    </i>
    <i>
      <x v="480"/>
      <x v="7"/>
      <x v="2"/>
      <x v="1"/>
    </i>
    <i>
      <x v="481"/>
      <x v="15"/>
      <x v="1"/>
      <x v="4"/>
    </i>
    <i>
      <x v="482"/>
      <x v="11"/>
      <x v="17"/>
      <x v="3"/>
    </i>
    <i>
      <x v="483"/>
      <x v="18"/>
      <x/>
      <x v="2"/>
    </i>
    <i>
      <x v="484"/>
      <x v="6"/>
      <x/>
      <x v="2"/>
    </i>
    <i>
      <x v="485"/>
      <x v="11"/>
      <x/>
      <x v="2"/>
    </i>
    <i>
      <x v="486"/>
      <x v="7"/>
      <x v="20"/>
      <x v="3"/>
    </i>
    <i>
      <x v="487"/>
      <x v="13"/>
      <x v="17"/>
      <x v="3"/>
    </i>
    <i>
      <x v="488"/>
      <x v="5"/>
      <x v="9"/>
      <x v="2"/>
    </i>
    <i>
      <x v="489"/>
      <x v="4"/>
      <x v="10"/>
      <x/>
    </i>
    <i>
      <x v="490"/>
      <x v="9"/>
      <x v="7"/>
      <x v="3"/>
    </i>
    <i>
      <x v="491"/>
      <x v="5"/>
      <x v="5"/>
      <x/>
    </i>
    <i>
      <x v="492"/>
      <x v="12"/>
      <x v="4"/>
      <x v="1"/>
    </i>
    <i>
      <x v="493"/>
      <x v="5"/>
      <x v="14"/>
      <x/>
    </i>
    <i>
      <x v="494"/>
      <x v="14"/>
      <x/>
      <x v="2"/>
    </i>
    <i>
      <x v="495"/>
      <x v="8"/>
      <x v="4"/>
      <x v="1"/>
    </i>
    <i>
      <x v="496"/>
      <x v="16"/>
      <x v="14"/>
      <x/>
    </i>
    <i>
      <x v="497"/>
      <x v="11"/>
      <x v="18"/>
      <x v="2"/>
    </i>
    <i>
      <x v="498"/>
      <x v="1"/>
      <x v="14"/>
      <x/>
    </i>
    <i>
      <x v="499"/>
      <x v="17"/>
      <x/>
      <x v="2"/>
    </i>
    <i t="grand">
      <x/>
    </i>
  </rowItems>
  <colItems count="1">
    <i/>
  </colItems>
  <dataFields count="1">
    <dataField name="Sum of Sales" fld="8" baseField="0" baseItem="0" numFmtId="164"/>
  </dataFields>
  <formats count="1">
    <format dxfId="1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9389D3-BD1F-6740-A5E6-1EFD9CA824DA}"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4:AC11" firstHeaderRow="1" firstDataRow="1" firstDataCol="1"/>
  <pivotFields count="13">
    <pivotField showAll="0"/>
    <pivotField showAll="0"/>
    <pivotField showAll="0"/>
    <pivotField showAll="0" measureFilter="1"/>
    <pivotField showAll="0"/>
    <pivotField axis="axisRow" showAll="0">
      <items count="7">
        <item x="4"/>
        <item x="1"/>
        <item x="0"/>
        <item x="3"/>
        <item x="5"/>
        <item x="2"/>
        <item t="default"/>
      </items>
    </pivotField>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5"/>
  </rowFields>
  <rowItems count="7">
    <i>
      <x/>
    </i>
    <i>
      <x v="1"/>
    </i>
    <i>
      <x v="2"/>
    </i>
    <i>
      <x v="3"/>
    </i>
    <i>
      <x v="4"/>
    </i>
    <i>
      <x v="5"/>
    </i>
    <i t="grand">
      <x/>
    </i>
  </rowItems>
  <colItems count="1">
    <i/>
  </colItems>
  <dataFields count="1">
    <dataField name="Sum of Sales" fld="8" baseField="0" baseItem="0" numFmtId="164"/>
  </dataFields>
  <formats count="7">
    <format dxfId="8">
      <pivotArea outline="0" fieldPosition="0">
        <references count="1">
          <reference field="4294967294" count="1">
            <x v="0"/>
          </reference>
        </references>
      </pivotArea>
    </format>
    <format dxfId="9">
      <pivotArea type="all" dataOnly="0" outline="0" fieldPosition="0"/>
    </format>
    <format dxfId="10">
      <pivotArea outline="0" collapsedLevelsAreSubtotals="1" fieldPosition="0"/>
    </format>
    <format dxfId="11">
      <pivotArea field="5" type="button" dataOnly="0" labelOnly="1" outline="0" axis="axisRow" fieldPosition="0"/>
    </format>
    <format dxfId="12">
      <pivotArea dataOnly="0" labelOnly="1" fieldPosition="0">
        <references count="1">
          <reference field="5" count="0"/>
        </references>
      </pivotArea>
    </format>
    <format dxfId="13">
      <pivotArea dataOnly="0" labelOnly="1" grandRow="1" outline="0" fieldPosition="0"/>
    </format>
    <format dxfId="14">
      <pivotArea dataOnly="0" labelOnly="1" outline="0" axis="axisValues" fieldPosition="0"/>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4558C0-B57B-614B-ADD9-C4864A397D59}" name="PivotTable1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9" firstHeaderRow="1" firstDataRow="1" firstDataCol="1"/>
  <pivotFields count="13">
    <pivotField showAll="0"/>
    <pivotField showAll="0"/>
    <pivotField showAll="0"/>
    <pivotField showAll="0"/>
    <pivotField axis="axisRow" showAll="0" sortType="ascending">
      <items count="6">
        <item x="0"/>
        <item x="4"/>
        <item x="2"/>
        <item x="3"/>
        <item x="1"/>
        <item t="default"/>
      </items>
      <autoSortScope>
        <pivotArea dataOnly="0" outline="0" fieldPosition="0">
          <references count="1">
            <reference field="4294967294" count="1" selected="0">
              <x v="0"/>
            </reference>
          </references>
        </pivotArea>
      </autoSortScope>
    </pivotField>
    <pivotField showAll="0"/>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4"/>
  </rowFields>
  <rowItems count="6">
    <i>
      <x/>
    </i>
    <i>
      <x v="1"/>
    </i>
    <i>
      <x v="3"/>
    </i>
    <i>
      <x v="4"/>
    </i>
    <i>
      <x v="2"/>
    </i>
    <i t="grand">
      <x/>
    </i>
  </rowItems>
  <colItems count="1">
    <i/>
  </colItems>
  <dataFields count="1">
    <dataField name="Sum of Sales" fld="8" baseField="0" baseItem="0" numFmtId="164"/>
  </dataFields>
  <formats count="1">
    <format dxfId="2">
      <pivotArea outline="0" fieldPosition="0">
        <references count="1">
          <reference field="4294967294" count="1">
            <x v="0"/>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45128C-3EE0-A645-B928-5F5CB8C98666}" name="PivotTable10"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3">
    <pivotField dataField="1" showAll="0"/>
    <pivotField showAll="0"/>
    <pivotField showAll="0"/>
    <pivotField showAll="0"/>
    <pivotField showAll="0"/>
    <pivotField showAll="0"/>
    <pivotField showAll="0">
      <items count="5">
        <item x="2"/>
        <item x="0"/>
        <item x="3"/>
        <item x="1"/>
        <item t="default"/>
      </items>
    </pivotField>
    <pivotField showAll="0">
      <items count="5">
        <item x="2"/>
        <item x="0"/>
        <item x="1"/>
        <item x="3"/>
        <item t="default"/>
      </items>
    </pivotField>
    <pivotField dataField="1" showAll="0"/>
    <pivotField dataField="1" showAll="0"/>
    <pivotField dataField="1" showAll="0"/>
    <pivotField dataField="1" showAll="0"/>
    <pivotField showAll="0">
      <items count="13">
        <item x="10"/>
        <item x="7"/>
        <item x="6"/>
        <item x="2"/>
        <item x="0"/>
        <item x="9"/>
        <item x="4"/>
        <item x="3"/>
        <item x="5"/>
        <item x="1"/>
        <item x="11"/>
        <item x="8"/>
        <item t="default"/>
      </items>
    </pivotField>
  </pivotFields>
  <rowFields count="1">
    <field x="-2"/>
  </rowFields>
  <rowItems count="5">
    <i>
      <x/>
    </i>
    <i i="1">
      <x v="1"/>
    </i>
    <i i="2">
      <x v="2"/>
    </i>
    <i i="3">
      <x v="3"/>
    </i>
    <i i="4">
      <x v="4"/>
    </i>
  </rowItems>
  <colItems count="1">
    <i/>
  </colItems>
  <dataFields count="5">
    <dataField name="Count of Order_ID" fld="0" subtotal="count" baseField="0" baseItem="0"/>
    <dataField name="Average of Rating" fld="10" subtotal="average" baseField="0" baseItem="0"/>
    <dataField name="Total Sales" fld="8" baseField="0" baseItem="0" numFmtId="164"/>
    <dataField name="Average of Delivery" fld="11" subtotal="average" baseField="0" baseItem="0"/>
    <dataField name="Sum of Quantity" fld="9" baseField="0" baseItem="0" numFmtId="165"/>
  </dataFields>
  <formats count="4">
    <format dxfId="4">
      <pivotArea collapsedLevelsAreSubtotals="1" fieldPosition="0">
        <references count="1">
          <reference field="4294967294" count="1">
            <x v="1"/>
          </reference>
        </references>
      </pivotArea>
    </format>
    <format dxfId="5">
      <pivotArea outline="0" fieldPosition="0">
        <references count="1">
          <reference field="4294967294" count="1">
            <x v="2"/>
          </reference>
        </references>
      </pivotArea>
    </format>
    <format dxfId="6">
      <pivotArea collapsedLevelsAreSubtotals="1" fieldPosition="0">
        <references count="1">
          <reference field="4294967294" count="1">
            <x v="3"/>
          </reference>
        </references>
      </pivotArea>
    </format>
    <format dxfId="7">
      <pivotArea outline="0" fieldPosition="0">
        <references count="1">
          <reference field="429496729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D9E119-DAA1-D34B-B985-5FAD0C29D245}" name="PivotTable1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6" firstHeaderRow="1" firstDataRow="1" firstDataCol="1"/>
  <pivotFields count="13">
    <pivotField showAll="0"/>
    <pivotField showAll="0"/>
    <pivotField showAll="0"/>
    <pivotField showAll="0"/>
    <pivotField showAll="0"/>
    <pivotField showAll="0"/>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axis="axisRow" showAll="0">
      <items count="13">
        <item x="10"/>
        <item x="7"/>
        <item x="6"/>
        <item x="2"/>
        <item x="0"/>
        <item x="9"/>
        <item x="4"/>
        <item x="3"/>
        <item x="5"/>
        <item x="1"/>
        <item x="11"/>
        <item x="8"/>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Sum of Sales" fld="8" baseField="0" baseItem="0" numFmtId="164"/>
  </dataFields>
  <formats count="1">
    <format dxfId="3">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8B2883-3A0F-F143-B538-A1590E0E5F8E}" name="PivotTable14"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N9" firstHeaderRow="1" firstDataRow="1" firstDataCol="1"/>
  <pivotFields count="13">
    <pivotField showAll="0"/>
    <pivotField showAll="0"/>
    <pivotField showAll="0"/>
    <pivotField axis="axisRow" showAll="0" measureFilter="1">
      <items count="22">
        <item x="12"/>
        <item x="6"/>
        <item x="5"/>
        <item x="1"/>
        <item x="13"/>
        <item x="20"/>
        <item x="2"/>
        <item x="4"/>
        <item x="8"/>
        <item x="14"/>
        <item x="15"/>
        <item x="16"/>
        <item x="9"/>
        <item x="17"/>
        <item x="10"/>
        <item x="7"/>
        <item x="0"/>
        <item x="3"/>
        <item x="19"/>
        <item x="18"/>
        <item x="11"/>
        <item t="default"/>
      </items>
    </pivotField>
    <pivotField showAll="0"/>
    <pivotField showAll="0"/>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3"/>
  </rowFields>
  <rowItems count="6">
    <i>
      <x/>
    </i>
    <i>
      <x v="6"/>
    </i>
    <i>
      <x v="9"/>
    </i>
    <i>
      <x v="11"/>
    </i>
    <i>
      <x v="18"/>
    </i>
    <i t="grand">
      <x/>
    </i>
  </rowItems>
  <colItems count="1">
    <i/>
  </colItems>
  <dataFields count="1">
    <dataField name="Sum of Sales" fld="8" baseField="0" baseItem="0" numFmtId="164"/>
  </dataFields>
  <formats count="1">
    <format dxfId="0">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6"/>
          </reference>
        </references>
      </pivotArea>
    </chartFormat>
    <chartFormat chart="2" format="4">
      <pivotArea type="data" outline="0" fieldPosition="0">
        <references count="2">
          <reference field="4294967294" count="1" selected="0">
            <x v="0"/>
          </reference>
          <reference field="3" count="1" selected="0">
            <x v="0"/>
          </reference>
        </references>
      </pivotArea>
    </chartFormat>
    <chartFormat chart="2" format="5">
      <pivotArea type="data" outline="0" fieldPosition="0">
        <references count="2">
          <reference field="4294967294" count="1" selected="0">
            <x v="0"/>
          </reference>
          <reference field="3" count="1" selected="0">
            <x v="9"/>
          </reference>
        </references>
      </pivotArea>
    </chartFormat>
    <chartFormat chart="2" format="6">
      <pivotArea type="data" outline="0" fieldPosition="0">
        <references count="2">
          <reference field="4294967294" count="1" selected="0">
            <x v="0"/>
          </reference>
          <reference field="3" count="1" selected="0">
            <x v="11"/>
          </reference>
        </references>
      </pivotArea>
    </chartFormat>
    <chartFormat chart="2" format="7">
      <pivotArea type="data" outline="0" fieldPosition="0">
        <references count="2">
          <reference field="4294967294" count="1" selected="0">
            <x v="0"/>
          </reference>
          <reference field="3" count="1" selected="0">
            <x v="18"/>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36E6B409-D572-C54F-B80F-FB22F436097F}" sourceName="Seller">
  <pivotTables>
    <pivotTable tabId="6" name="PivotTable15"/>
    <pivotTable tabId="6" name="PivotTable1"/>
    <pivotTable tabId="6" name="PivotTable10"/>
    <pivotTable tabId="6" name="PivotTable11"/>
    <pivotTable tabId="6" name="PivotTable12"/>
    <pivotTable tabId="6" name="PivotTable13"/>
    <pivotTable tabId="6" name="PivotTable14"/>
  </pivotTables>
  <data>
    <tabular pivotCacheId="1638236978">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62AD2C3-7FEE-3D41-81A8-0C668C098107}" sourceName="Payment_Method">
  <pivotTables>
    <pivotTable tabId="6" name="PivotTable15"/>
    <pivotTable tabId="6" name="PivotTable1"/>
    <pivotTable tabId="6" name="PivotTable10"/>
    <pivotTable tabId="6" name="PivotTable11"/>
    <pivotTable tabId="6" name="PivotTable12"/>
    <pivotTable tabId="6" name="PivotTable13"/>
    <pivotTable tabId="6" name="PivotTable14"/>
  </pivotTables>
  <data>
    <tabular pivotCacheId="1638236978">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4C34774-957C-1E49-983E-8366B50EA837}" sourceName="Month">
  <pivotTables>
    <pivotTable tabId="6" name="PivotTable15"/>
    <pivotTable tabId="6" name="PivotTable1"/>
    <pivotTable tabId="6" name="PivotTable10"/>
    <pivotTable tabId="6" name="PivotTable11"/>
    <pivotTable tabId="6" name="PivotTable12"/>
    <pivotTable tabId="6" name="PivotTable13"/>
    <pivotTable tabId="6" name="PivotTable14"/>
  </pivotTables>
  <data>
    <tabular pivotCacheId="1638236978">
      <items count="12">
        <i x="10" s="1"/>
        <i x="7" s="1"/>
        <i x="6" s="1"/>
        <i x="2" s="1"/>
        <i x="0" s="1"/>
        <i x="9" s="1"/>
        <i x="4" s="1"/>
        <i x="3" s="1"/>
        <i x="5" s="1"/>
        <i x="1" s="1"/>
        <i x="1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xr10:uid="{15BAFF9D-F74C-7644-B371-7B692C29B83F}" cache="Slicer_Seller" caption="Seller" style="SlicerStyleLight2" rowHeight="230716"/>
  <slicer name="Payment_Method" xr10:uid="{525EEBD8-413C-AE46-B532-71C893FBF2D4}" cache="Slicer_Payment_Method" caption="PayMethod" style="SlicerStyleLight2" rowHeight="230716"/>
  <slicer name="Month" xr10:uid="{76729C1C-F515-5F4D-AADC-9B0B21B8D97B}" cache="Slicer_Month" caption="Month" startItem="4" style="SlicerStyleLight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80D071-5323-4C66-BA22-00F82BF17697}" name="Table2" displayName="Table2" ref="A1:M501" totalsRowShown="0">
  <autoFilter ref="A1:M501" xr:uid="{2480D071-5323-4C66-BA22-00F82BF17697}"/>
  <tableColumns count="13">
    <tableColumn id="1" xr3:uid="{4619DDE8-E45E-40F5-9CDE-83F49B529241}" name="Order_ID"/>
    <tableColumn id="2" xr3:uid="{135ACC30-3CAE-4A4B-B5CB-59E5AD460DD3}" name="Date"/>
    <tableColumn id="3" xr3:uid="{CAE3042A-9808-464A-BC2A-9A5D7F3F309C}" name="Customer_Name"/>
    <tableColumn id="4" xr3:uid="{FB80DA67-A5C8-4B90-A1EF-46E18B030293}" name="Product"/>
    <tableColumn id="5" xr3:uid="{5E81FBA1-71A1-4F40-BD7A-FBF54904BE1A}" name="Category"/>
    <tableColumn id="6" xr3:uid="{2F226CA1-19E8-4AB1-A5D6-BBE87C5DB869}" name="State"/>
    <tableColumn id="7" xr3:uid="{F8102C39-594C-41AC-9686-541DDD1537E7}" name="Seller"/>
    <tableColumn id="8" xr3:uid="{0A8097C8-83EB-4DE0-A641-267C0F4EFC44}" name="Payment_Method"/>
    <tableColumn id="9" xr3:uid="{081A5C4B-54A1-4BBF-A014-0EBBF3191B2D}" name="Sales"/>
    <tableColumn id="10" xr3:uid="{C9E67D15-90D1-48D9-862A-8498B31085A7}" name="Quantity"/>
    <tableColumn id="11" xr3:uid="{AE998671-AC4D-4B9A-AFF2-4F542F21E837}" name="Rating"/>
    <tableColumn id="12" xr3:uid="{49941C77-18ED-46A5-8B32-A178909E271D}" name="Delivery"/>
    <tableColumn id="13" xr3:uid="{7F51789C-1BBD-40A2-89EF-B0174FE343E5}" name="Month"/>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0C293-9A4A-804A-82A9-350C5AEFCBCB}">
  <dimension ref="A3:AG505"/>
  <sheetViews>
    <sheetView zoomScale="81" zoomScaleNormal="100" workbookViewId="0">
      <selection activeCell="Q24" sqref="Q24"/>
    </sheetView>
  </sheetViews>
  <sheetFormatPr baseColWidth="10" defaultRowHeight="15" x14ac:dyDescent="0.2"/>
  <cols>
    <col min="1" max="1" width="15.6640625" bestFit="1" customWidth="1"/>
    <col min="2" max="2" width="6.1640625" bestFit="1" customWidth="1"/>
    <col min="3" max="3" width="5.33203125" customWidth="1"/>
    <col min="4" max="4" width="13.1640625" bestFit="1" customWidth="1"/>
    <col min="5" max="5" width="11.5" bestFit="1" customWidth="1"/>
    <col min="6" max="6" width="6.1640625" customWidth="1"/>
    <col min="7" max="7" width="13.1640625" bestFit="1" customWidth="1"/>
    <col min="8" max="8" width="11.5" bestFit="1" customWidth="1"/>
    <col min="9" max="9" width="4" customWidth="1"/>
    <col min="10" max="10" width="13.1640625" bestFit="1" customWidth="1"/>
    <col min="11" max="11" width="11.5" bestFit="1" customWidth="1"/>
    <col min="12" max="12" width="5.6640625" customWidth="1"/>
    <col min="13" max="13" width="15.33203125" bestFit="1" customWidth="1"/>
    <col min="14" max="14" width="11.5" bestFit="1" customWidth="1"/>
    <col min="15" max="15" width="5.5" customWidth="1"/>
    <col min="16" max="16" width="20.6640625" bestFit="1" customWidth="1"/>
    <col min="17" max="17" width="12" bestFit="1" customWidth="1"/>
    <col min="19" max="19" width="11.5" bestFit="1" customWidth="1"/>
    <col min="20" max="20" width="6.33203125" bestFit="1" customWidth="1"/>
    <col min="26" max="26" width="15.83203125" bestFit="1" customWidth="1"/>
    <col min="28" max="28" width="13.1640625" bestFit="1" customWidth="1"/>
    <col min="29" max="29" width="11.5" bestFit="1" customWidth="1"/>
  </cols>
  <sheetData>
    <row r="3" spans="1:33" x14ac:dyDescent="0.2">
      <c r="A3" s="1" t="s">
        <v>867</v>
      </c>
      <c r="D3" s="1" t="s">
        <v>860</v>
      </c>
      <c r="E3" t="s">
        <v>862</v>
      </c>
      <c r="G3" s="1" t="s">
        <v>860</v>
      </c>
      <c r="H3" t="s">
        <v>862</v>
      </c>
      <c r="J3" s="1" t="s">
        <v>860</v>
      </c>
      <c r="K3" t="s">
        <v>862</v>
      </c>
      <c r="M3" s="1" t="s">
        <v>860</v>
      </c>
      <c r="N3" t="s">
        <v>862</v>
      </c>
      <c r="P3" s="1" t="s">
        <v>862</v>
      </c>
    </row>
    <row r="4" spans="1:33" ht="19" x14ac:dyDescent="0.25">
      <c r="A4" s="2" t="s">
        <v>863</v>
      </c>
      <c r="B4" s="20">
        <v>500</v>
      </c>
      <c r="D4" s="2" t="s">
        <v>144</v>
      </c>
      <c r="E4" s="3">
        <v>1480730</v>
      </c>
      <c r="G4" s="2" t="s">
        <v>17</v>
      </c>
      <c r="H4" s="3">
        <v>490618</v>
      </c>
      <c r="J4" s="2" t="s">
        <v>36</v>
      </c>
      <c r="K4" s="3">
        <v>5522910</v>
      </c>
      <c r="M4" s="2" t="s">
        <v>97</v>
      </c>
      <c r="N4" s="3">
        <v>5398413</v>
      </c>
      <c r="P4" s="1" t="s">
        <v>0</v>
      </c>
      <c r="Q4" s="1" t="s">
        <v>2</v>
      </c>
      <c r="R4" s="1" t="s">
        <v>3</v>
      </c>
      <c r="S4" s="1" t="s">
        <v>4</v>
      </c>
      <c r="T4" t="s">
        <v>868</v>
      </c>
      <c r="V4" s="6" t="s">
        <v>869</v>
      </c>
      <c r="W4" s="6" t="s">
        <v>870</v>
      </c>
      <c r="X4" s="6" t="s">
        <v>3</v>
      </c>
      <c r="Y4" s="6" t="s">
        <v>4</v>
      </c>
      <c r="Z4" s="6" t="s">
        <v>8</v>
      </c>
      <c r="AB4" s="10" t="s">
        <v>860</v>
      </c>
      <c r="AC4" s="7" t="s">
        <v>862</v>
      </c>
      <c r="AE4" s="6" t="s">
        <v>871</v>
      </c>
      <c r="AF4" s="6" t="s">
        <v>872</v>
      </c>
      <c r="AG4" s="6" t="s">
        <v>873</v>
      </c>
    </row>
    <row r="5" spans="1:33" x14ac:dyDescent="0.2">
      <c r="A5" s="2" t="s">
        <v>865</v>
      </c>
      <c r="B5" s="4">
        <v>4.1180000000000021</v>
      </c>
      <c r="D5" s="2" t="s">
        <v>87</v>
      </c>
      <c r="E5" s="3">
        <v>1991453</v>
      </c>
      <c r="G5" s="2" t="s">
        <v>52</v>
      </c>
      <c r="H5" s="3">
        <v>570604</v>
      </c>
      <c r="J5" s="2" t="s">
        <v>20</v>
      </c>
      <c r="K5" s="3">
        <v>5037484</v>
      </c>
      <c r="M5" s="2" t="s">
        <v>34</v>
      </c>
      <c r="N5" s="3">
        <v>2352917</v>
      </c>
      <c r="P5" t="s">
        <v>13</v>
      </c>
      <c r="Q5" t="s">
        <v>15</v>
      </c>
      <c r="R5" t="s">
        <v>16</v>
      </c>
      <c r="S5" t="s">
        <v>17</v>
      </c>
      <c r="T5" s="3">
        <v>3028</v>
      </c>
      <c r="V5" s="7" t="str">
        <f>P5</f>
        <v>ORD10001</v>
      </c>
      <c r="W5" s="7" t="str">
        <f t="shared" ref="W5:Z12" si="0">Q5</f>
        <v>Rohit</v>
      </c>
      <c r="X5" s="7" t="str">
        <f t="shared" si="0"/>
        <v>Shampoo</v>
      </c>
      <c r="Y5" s="7" t="str">
        <f t="shared" si="0"/>
        <v>Beauty</v>
      </c>
      <c r="Z5" s="8">
        <f t="shared" si="0"/>
        <v>3028</v>
      </c>
      <c r="AB5" s="11" t="s">
        <v>83</v>
      </c>
      <c r="AC5" s="12">
        <v>3353882</v>
      </c>
      <c r="AE5" s="7" t="str">
        <f>AB5</f>
        <v>Delhi</v>
      </c>
      <c r="AF5" s="7">
        <f>AC5</f>
        <v>3353882</v>
      </c>
      <c r="AG5" s="13">
        <f>AF5/AF11</f>
        <v>0.14578028382255265</v>
      </c>
    </row>
    <row r="6" spans="1:33" x14ac:dyDescent="0.2">
      <c r="A6" s="2" t="s">
        <v>874</v>
      </c>
      <c r="B6" s="3">
        <v>23006417</v>
      </c>
      <c r="D6" s="2" t="s">
        <v>80</v>
      </c>
      <c r="E6" s="3">
        <v>2439516</v>
      </c>
      <c r="G6" s="2" t="s">
        <v>42</v>
      </c>
      <c r="H6" s="3">
        <v>1790583</v>
      </c>
      <c r="J6" s="2" t="s">
        <v>29</v>
      </c>
      <c r="K6" s="3">
        <v>6132531</v>
      </c>
      <c r="M6" s="2" t="s">
        <v>113</v>
      </c>
      <c r="N6" s="3">
        <v>2432276</v>
      </c>
      <c r="P6" t="s">
        <v>22</v>
      </c>
      <c r="Q6" t="s">
        <v>24</v>
      </c>
      <c r="R6" t="s">
        <v>25</v>
      </c>
      <c r="S6" t="s">
        <v>26</v>
      </c>
      <c r="T6" s="3">
        <v>32636</v>
      </c>
      <c r="V6" s="7" t="str">
        <f t="shared" ref="V6:V12" si="1">P6</f>
        <v>ORD10002</v>
      </c>
      <c r="W6" s="7" t="str">
        <f t="shared" si="0"/>
        <v>Kavya</v>
      </c>
      <c r="X6" s="7" t="str">
        <f t="shared" si="0"/>
        <v>Chair</v>
      </c>
      <c r="Y6" s="7" t="str">
        <f t="shared" si="0"/>
        <v>Home</v>
      </c>
      <c r="Z6" s="8">
        <f t="shared" si="0"/>
        <v>32636</v>
      </c>
      <c r="AB6" s="11" t="s">
        <v>27</v>
      </c>
      <c r="AC6" s="12">
        <v>4389497</v>
      </c>
      <c r="AE6" s="7" t="str">
        <f t="shared" ref="AE6:AF10" si="2">AB6</f>
        <v>Gujrat</v>
      </c>
      <c r="AF6" s="7">
        <f t="shared" si="2"/>
        <v>4389497</v>
      </c>
      <c r="AG6" s="13">
        <f>AF6/AF11</f>
        <v>0.19079446399671882</v>
      </c>
    </row>
    <row r="7" spans="1:33" x14ac:dyDescent="0.2">
      <c r="A7" s="2" t="s">
        <v>866</v>
      </c>
      <c r="B7" s="4">
        <v>4.2919999999999998</v>
      </c>
      <c r="D7" s="2" t="s">
        <v>37</v>
      </c>
      <c r="E7" s="3">
        <v>1723736</v>
      </c>
      <c r="G7" s="2" t="s">
        <v>26</v>
      </c>
      <c r="H7" s="3">
        <v>2691079</v>
      </c>
      <c r="J7" s="2" t="s">
        <v>64</v>
      </c>
      <c r="K7" s="3">
        <v>6313492</v>
      </c>
      <c r="M7" s="2" t="s">
        <v>130</v>
      </c>
      <c r="N7" s="3">
        <v>3842259</v>
      </c>
      <c r="P7" t="s">
        <v>31</v>
      </c>
      <c r="Q7" t="s">
        <v>33</v>
      </c>
      <c r="R7" t="s">
        <v>34</v>
      </c>
      <c r="S7" t="s">
        <v>35</v>
      </c>
      <c r="T7" s="3">
        <v>313782</v>
      </c>
      <c r="V7" s="7" t="str">
        <f t="shared" si="1"/>
        <v>ORD10003</v>
      </c>
      <c r="W7" s="7" t="str">
        <f t="shared" si="0"/>
        <v>Neha</v>
      </c>
      <c r="X7" s="7" t="str">
        <f t="shared" si="0"/>
        <v>iPhone 15</v>
      </c>
      <c r="Y7" s="7" t="str">
        <f t="shared" si="0"/>
        <v>Electronics</v>
      </c>
      <c r="Z7" s="8">
        <f t="shared" si="0"/>
        <v>313782</v>
      </c>
      <c r="AB7" s="11" t="s">
        <v>18</v>
      </c>
      <c r="AC7" s="12">
        <v>5312858</v>
      </c>
      <c r="AE7" s="7" t="str">
        <f t="shared" si="2"/>
        <v>Karnataka</v>
      </c>
      <c r="AF7" s="7">
        <f t="shared" si="2"/>
        <v>5312858</v>
      </c>
      <c r="AG7" s="13">
        <f>AF7/AF11</f>
        <v>0.23092939678525343</v>
      </c>
    </row>
    <row r="8" spans="1:33" x14ac:dyDescent="0.2">
      <c r="A8" s="2" t="s">
        <v>864</v>
      </c>
      <c r="B8" s="5">
        <v>2280</v>
      </c>
      <c r="D8" s="2" t="s">
        <v>21</v>
      </c>
      <c r="E8" s="3">
        <v>2226405</v>
      </c>
      <c r="G8" s="2" t="s">
        <v>35</v>
      </c>
      <c r="H8" s="3">
        <v>17463533</v>
      </c>
      <c r="J8" s="2" t="s">
        <v>861</v>
      </c>
      <c r="K8" s="3">
        <v>23006417</v>
      </c>
      <c r="M8" s="2" t="s">
        <v>165</v>
      </c>
      <c r="N8" s="3">
        <v>3437668</v>
      </c>
      <c r="P8" t="s">
        <v>38</v>
      </c>
      <c r="Q8" t="s">
        <v>40</v>
      </c>
      <c r="R8" t="s">
        <v>41</v>
      </c>
      <c r="S8" t="s">
        <v>42</v>
      </c>
      <c r="T8" s="3">
        <v>11375</v>
      </c>
      <c r="V8" s="7" t="str">
        <f t="shared" si="1"/>
        <v>ORD10004</v>
      </c>
      <c r="W8" s="7" t="str">
        <f t="shared" si="0"/>
        <v>Rahul</v>
      </c>
      <c r="X8" s="7" t="str">
        <f t="shared" si="0"/>
        <v>Shoes</v>
      </c>
      <c r="Y8" s="7" t="str">
        <f t="shared" si="0"/>
        <v>Fashion</v>
      </c>
      <c r="Z8" s="8">
        <f t="shared" si="0"/>
        <v>11375</v>
      </c>
      <c r="AB8" s="11" t="s">
        <v>60</v>
      </c>
      <c r="AC8" s="12">
        <v>3463152</v>
      </c>
      <c r="AE8" s="7" t="str">
        <f t="shared" si="2"/>
        <v>Maharashtra</v>
      </c>
      <c r="AF8" s="7">
        <f t="shared" si="2"/>
        <v>3463152</v>
      </c>
      <c r="AG8" s="13">
        <f>AF8/AF11</f>
        <v>0.15052982826487063</v>
      </c>
    </row>
    <row r="9" spans="1:33" x14ac:dyDescent="0.2">
      <c r="D9" s="2" t="s">
        <v>126</v>
      </c>
      <c r="E9" s="3">
        <v>1483670</v>
      </c>
      <c r="G9" s="2" t="s">
        <v>861</v>
      </c>
      <c r="H9" s="3">
        <v>23006417</v>
      </c>
      <c r="M9" s="2" t="s">
        <v>861</v>
      </c>
      <c r="N9" s="3">
        <v>17463533</v>
      </c>
      <c r="P9" t="s">
        <v>43</v>
      </c>
      <c r="Q9" t="s">
        <v>45</v>
      </c>
      <c r="R9" t="s">
        <v>46</v>
      </c>
      <c r="S9" t="s">
        <v>42</v>
      </c>
      <c r="T9" s="3">
        <v>14496</v>
      </c>
      <c r="V9" s="7" t="str">
        <f t="shared" si="1"/>
        <v>ORD10005</v>
      </c>
      <c r="W9" s="7" t="str">
        <f t="shared" si="0"/>
        <v>Akash</v>
      </c>
      <c r="X9" s="7" t="str">
        <f t="shared" si="0"/>
        <v>Jeans</v>
      </c>
      <c r="Y9" s="7" t="str">
        <f t="shared" si="0"/>
        <v>Fashion</v>
      </c>
      <c r="Z9" s="8">
        <f t="shared" si="0"/>
        <v>14496</v>
      </c>
      <c r="AB9" s="11" t="s">
        <v>100</v>
      </c>
      <c r="AC9" s="12">
        <v>3050638</v>
      </c>
      <c r="AE9" s="7" t="str">
        <f t="shared" si="2"/>
        <v>Tamil Nadu</v>
      </c>
      <c r="AF9" s="7">
        <f t="shared" si="2"/>
        <v>3050638</v>
      </c>
      <c r="AG9" s="13">
        <f>AF9/AF11</f>
        <v>0.13259943953897732</v>
      </c>
    </row>
    <row r="10" spans="1:33" x14ac:dyDescent="0.2">
      <c r="D10" s="2" t="s">
        <v>55</v>
      </c>
      <c r="E10" s="3">
        <v>2566476</v>
      </c>
      <c r="P10" t="s">
        <v>48</v>
      </c>
      <c r="Q10" t="s">
        <v>50</v>
      </c>
      <c r="R10" t="s">
        <v>51</v>
      </c>
      <c r="S10" t="s">
        <v>52</v>
      </c>
      <c r="T10" s="3">
        <v>5745</v>
      </c>
      <c r="V10" s="7" t="str">
        <f t="shared" si="1"/>
        <v>ORD10006</v>
      </c>
      <c r="W10" s="7" t="str">
        <f t="shared" si="0"/>
        <v>Anjali</v>
      </c>
      <c r="X10" s="7" t="str">
        <f t="shared" si="0"/>
        <v>Business Book</v>
      </c>
      <c r="Y10" s="7" t="str">
        <f t="shared" si="0"/>
        <v>Books</v>
      </c>
      <c r="Z10" s="8">
        <f t="shared" si="0"/>
        <v>5745</v>
      </c>
      <c r="AB10" s="11" t="s">
        <v>53</v>
      </c>
      <c r="AC10" s="12">
        <v>3436390</v>
      </c>
      <c r="AE10" s="7" t="str">
        <f t="shared" si="2"/>
        <v>Telangana</v>
      </c>
      <c r="AF10" s="7">
        <f t="shared" si="2"/>
        <v>3436390</v>
      </c>
      <c r="AG10" s="13">
        <f>AF10/AF11</f>
        <v>0.14936658759162716</v>
      </c>
    </row>
    <row r="11" spans="1:33" x14ac:dyDescent="0.2">
      <c r="D11" s="2" t="s">
        <v>47</v>
      </c>
      <c r="E11" s="3">
        <v>1323566</v>
      </c>
      <c r="P11" t="s">
        <v>56</v>
      </c>
      <c r="Q11" t="s">
        <v>58</v>
      </c>
      <c r="R11" t="s">
        <v>59</v>
      </c>
      <c r="S11" t="s">
        <v>26</v>
      </c>
      <c r="T11" s="3">
        <v>24696</v>
      </c>
      <c r="V11" s="7" t="str">
        <f t="shared" si="1"/>
        <v>ORD10007</v>
      </c>
      <c r="W11" s="7" t="str">
        <f t="shared" si="0"/>
        <v>Divya</v>
      </c>
      <c r="X11" s="7" t="str">
        <f t="shared" si="0"/>
        <v>Bedsheet</v>
      </c>
      <c r="Y11" s="7" t="str">
        <f t="shared" si="0"/>
        <v>Home</v>
      </c>
      <c r="Z11" s="8">
        <f t="shared" si="0"/>
        <v>24696</v>
      </c>
      <c r="AB11" s="11" t="s">
        <v>861</v>
      </c>
      <c r="AC11" s="12">
        <v>23006417</v>
      </c>
      <c r="AE11" s="14" t="s">
        <v>861</v>
      </c>
      <c r="AF11" s="15">
        <v>23006417</v>
      </c>
      <c r="AG11" s="16">
        <f>SUM(AG5:AG10)</f>
        <v>0.99999999999999989</v>
      </c>
    </row>
    <row r="12" spans="1:33" x14ac:dyDescent="0.2">
      <c r="D12" s="2" t="s">
        <v>65</v>
      </c>
      <c r="E12" s="3">
        <v>1648464</v>
      </c>
      <c r="P12" t="s">
        <v>61</v>
      </c>
      <c r="Q12" t="s">
        <v>45</v>
      </c>
      <c r="R12" t="s">
        <v>63</v>
      </c>
      <c r="S12" t="s">
        <v>52</v>
      </c>
      <c r="T12" s="3">
        <v>3536</v>
      </c>
      <c r="V12" s="7" t="str">
        <f t="shared" si="1"/>
        <v>ORD10008</v>
      </c>
      <c r="W12" s="7" t="str">
        <f t="shared" si="0"/>
        <v>Akash</v>
      </c>
      <c r="X12" s="7" t="str">
        <f t="shared" si="0"/>
        <v>Python Book</v>
      </c>
      <c r="Y12" s="7" t="str">
        <f t="shared" si="0"/>
        <v>Books</v>
      </c>
      <c r="Z12" s="8">
        <f t="shared" si="0"/>
        <v>3536</v>
      </c>
    </row>
    <row r="13" spans="1:33" ht="19" x14ac:dyDescent="0.25">
      <c r="D13" s="2" t="s">
        <v>30</v>
      </c>
      <c r="E13" s="3">
        <v>1876219</v>
      </c>
      <c r="P13" t="s">
        <v>66</v>
      </c>
      <c r="Q13" t="s">
        <v>68</v>
      </c>
      <c r="R13" t="s">
        <v>69</v>
      </c>
      <c r="S13" t="s">
        <v>26</v>
      </c>
      <c r="T13" s="3">
        <v>25855</v>
      </c>
      <c r="V13" s="6" t="s">
        <v>868</v>
      </c>
      <c r="W13" s="6"/>
      <c r="X13" s="6"/>
      <c r="Y13" s="6"/>
      <c r="Z13" s="9">
        <f>SUM(Z5:Z12)</f>
        <v>409294</v>
      </c>
    </row>
    <row r="14" spans="1:33" x14ac:dyDescent="0.2">
      <c r="D14" s="2" t="s">
        <v>192</v>
      </c>
      <c r="E14" s="3">
        <v>948995</v>
      </c>
      <c r="J14" s="2"/>
      <c r="K14" s="3"/>
      <c r="P14" t="s">
        <v>70</v>
      </c>
      <c r="Q14" t="s">
        <v>72</v>
      </c>
      <c r="R14" t="s">
        <v>41</v>
      </c>
      <c r="S14" t="s">
        <v>42</v>
      </c>
      <c r="T14" s="3">
        <v>9432</v>
      </c>
    </row>
    <row r="15" spans="1:33" x14ac:dyDescent="0.2">
      <c r="D15" s="2" t="s">
        <v>119</v>
      </c>
      <c r="E15" s="3">
        <v>3297187</v>
      </c>
      <c r="J15" s="2"/>
      <c r="K15" s="3"/>
      <c r="P15" t="s">
        <v>73</v>
      </c>
      <c r="Q15" t="s">
        <v>75</v>
      </c>
      <c r="R15" t="s">
        <v>59</v>
      </c>
      <c r="S15" t="s">
        <v>26</v>
      </c>
      <c r="T15" s="3">
        <v>1749</v>
      </c>
    </row>
    <row r="16" spans="1:33" x14ac:dyDescent="0.2">
      <c r="A16">
        <f>GETPIVOTDATA("Count of Order_ID",$A$3)</f>
        <v>500</v>
      </c>
      <c r="D16" s="2" t="s">
        <v>861</v>
      </c>
      <c r="E16" s="3">
        <v>23006417</v>
      </c>
      <c r="J16" s="2"/>
      <c r="K16" s="3"/>
      <c r="P16" t="s">
        <v>76</v>
      </c>
      <c r="Q16" t="s">
        <v>78</v>
      </c>
      <c r="R16" t="s">
        <v>79</v>
      </c>
      <c r="S16" t="s">
        <v>26</v>
      </c>
      <c r="T16" s="3">
        <v>85904</v>
      </c>
    </row>
    <row r="17" spans="1:20" x14ac:dyDescent="0.2">
      <c r="A17" s="4">
        <f>GETPIVOTDATA("Average of Rating",$A$3)</f>
        <v>4.1180000000000021</v>
      </c>
      <c r="J17" s="2"/>
      <c r="K17" s="3"/>
      <c r="P17" t="s">
        <v>81</v>
      </c>
      <c r="Q17" t="s">
        <v>58</v>
      </c>
      <c r="R17" t="s">
        <v>46</v>
      </c>
      <c r="S17" t="s">
        <v>42</v>
      </c>
      <c r="T17" s="3">
        <v>9792</v>
      </c>
    </row>
    <row r="18" spans="1:20" x14ac:dyDescent="0.2">
      <c r="A18" s="3">
        <f>GETPIVOTDATA("Total Sales",$A$3)</f>
        <v>23006417</v>
      </c>
      <c r="J18" s="2"/>
      <c r="K18" s="3"/>
      <c r="P18" t="s">
        <v>84</v>
      </c>
      <c r="Q18" t="s">
        <v>78</v>
      </c>
      <c r="R18" t="s">
        <v>86</v>
      </c>
      <c r="S18" t="s">
        <v>17</v>
      </c>
      <c r="T18" s="3">
        <v>976</v>
      </c>
    </row>
    <row r="19" spans="1:20" x14ac:dyDescent="0.2">
      <c r="A19" s="4">
        <f>GETPIVOTDATA("Average of Delivery",$A$3)</f>
        <v>4.2919999999999998</v>
      </c>
      <c r="J19" s="18"/>
      <c r="K19" s="19"/>
      <c r="P19" t="s">
        <v>88</v>
      </c>
      <c r="Q19" t="s">
        <v>68</v>
      </c>
      <c r="R19" t="s">
        <v>90</v>
      </c>
      <c r="S19" t="s">
        <v>42</v>
      </c>
      <c r="T19" s="3">
        <v>8338</v>
      </c>
    </row>
    <row r="20" spans="1:20" x14ac:dyDescent="0.2">
      <c r="A20" s="5">
        <f>GETPIVOTDATA("Sum of Quantity",$A$3)</f>
        <v>2280</v>
      </c>
      <c r="P20" t="s">
        <v>91</v>
      </c>
      <c r="Q20" t="s">
        <v>75</v>
      </c>
      <c r="R20" t="s">
        <v>86</v>
      </c>
      <c r="S20" t="s">
        <v>17</v>
      </c>
      <c r="T20" s="3">
        <v>5592</v>
      </c>
    </row>
    <row r="21" spans="1:20" x14ac:dyDescent="0.2">
      <c r="P21" t="s">
        <v>93</v>
      </c>
      <c r="Q21" t="s">
        <v>24</v>
      </c>
      <c r="R21" t="s">
        <v>25</v>
      </c>
      <c r="S21" t="s">
        <v>26</v>
      </c>
      <c r="T21" s="3">
        <v>17208</v>
      </c>
    </row>
    <row r="22" spans="1:20" x14ac:dyDescent="0.2">
      <c r="D22" s="2"/>
      <c r="E22" s="3"/>
      <c r="P22" t="s">
        <v>95</v>
      </c>
      <c r="Q22" t="s">
        <v>58</v>
      </c>
      <c r="R22" t="s">
        <v>97</v>
      </c>
      <c r="S22" t="s">
        <v>35</v>
      </c>
      <c r="T22" s="3">
        <v>159523</v>
      </c>
    </row>
    <row r="23" spans="1:20" x14ac:dyDescent="0.2">
      <c r="D23" s="2"/>
      <c r="E23" s="3"/>
      <c r="P23" t="s">
        <v>98</v>
      </c>
      <c r="Q23" t="s">
        <v>75</v>
      </c>
      <c r="R23" t="s">
        <v>16</v>
      </c>
      <c r="S23" t="s">
        <v>17</v>
      </c>
      <c r="T23" s="3">
        <v>10632</v>
      </c>
    </row>
    <row r="24" spans="1:20" x14ac:dyDescent="0.2">
      <c r="D24" s="2"/>
      <c r="E24" s="3"/>
      <c r="P24" t="s">
        <v>101</v>
      </c>
      <c r="Q24" t="s">
        <v>103</v>
      </c>
      <c r="R24" t="s">
        <v>41</v>
      </c>
      <c r="S24" t="s">
        <v>42</v>
      </c>
      <c r="T24" s="3">
        <v>5484</v>
      </c>
    </row>
    <row r="25" spans="1:20" x14ac:dyDescent="0.2">
      <c r="D25" s="2"/>
      <c r="E25" s="3"/>
      <c r="P25" t="s">
        <v>105</v>
      </c>
      <c r="Q25" t="s">
        <v>75</v>
      </c>
      <c r="R25" t="s">
        <v>97</v>
      </c>
      <c r="S25" t="s">
        <v>35</v>
      </c>
      <c r="T25" s="3">
        <v>60040</v>
      </c>
    </row>
    <row r="26" spans="1:20" x14ac:dyDescent="0.2">
      <c r="D26" s="2"/>
      <c r="E26" s="3"/>
      <c r="P26" t="s">
        <v>107</v>
      </c>
      <c r="Q26" t="s">
        <v>78</v>
      </c>
      <c r="R26" t="s">
        <v>109</v>
      </c>
      <c r="S26" t="s">
        <v>52</v>
      </c>
      <c r="T26" s="3">
        <v>5668</v>
      </c>
    </row>
    <row r="27" spans="1:20" x14ac:dyDescent="0.2">
      <c r="D27" s="2"/>
      <c r="E27" s="3"/>
      <c r="P27" t="s">
        <v>110</v>
      </c>
      <c r="Q27" t="s">
        <v>112</v>
      </c>
      <c r="R27" t="s">
        <v>113</v>
      </c>
      <c r="S27" t="s">
        <v>35</v>
      </c>
      <c r="T27" s="3">
        <v>245328</v>
      </c>
    </row>
    <row r="28" spans="1:20" x14ac:dyDescent="0.2">
      <c r="D28" s="2"/>
      <c r="E28" s="3"/>
      <c r="P28" t="s">
        <v>114</v>
      </c>
      <c r="Q28" t="s">
        <v>78</v>
      </c>
      <c r="R28" t="s">
        <v>116</v>
      </c>
      <c r="S28" t="s">
        <v>17</v>
      </c>
      <c r="T28" s="3">
        <v>307</v>
      </c>
    </row>
    <row r="29" spans="1:20" x14ac:dyDescent="0.2">
      <c r="D29" s="2"/>
      <c r="E29" s="3"/>
      <c r="P29" t="s">
        <v>117</v>
      </c>
      <c r="Q29" t="s">
        <v>33</v>
      </c>
      <c r="R29" t="s">
        <v>16</v>
      </c>
      <c r="S29" t="s">
        <v>17</v>
      </c>
      <c r="T29" s="3">
        <v>4251</v>
      </c>
    </row>
    <row r="30" spans="1:20" x14ac:dyDescent="0.2">
      <c r="D30" s="2"/>
      <c r="E30" s="3"/>
      <c r="P30" t="s">
        <v>120</v>
      </c>
      <c r="Q30" t="s">
        <v>122</v>
      </c>
      <c r="R30" t="s">
        <v>34</v>
      </c>
      <c r="S30" t="s">
        <v>35</v>
      </c>
      <c r="T30" s="3">
        <v>195428</v>
      </c>
    </row>
    <row r="31" spans="1:20" x14ac:dyDescent="0.2">
      <c r="D31" s="2"/>
      <c r="E31" s="3"/>
      <c r="P31" t="s">
        <v>123</v>
      </c>
      <c r="Q31" t="s">
        <v>125</v>
      </c>
      <c r="R31" t="s">
        <v>86</v>
      </c>
      <c r="S31" t="s">
        <v>17</v>
      </c>
      <c r="T31" s="3">
        <v>11697</v>
      </c>
    </row>
    <row r="32" spans="1:20" x14ac:dyDescent="0.2">
      <c r="D32" s="2"/>
      <c r="E32" s="3"/>
      <c r="P32" t="s">
        <v>127</v>
      </c>
      <c r="Q32" t="s">
        <v>129</v>
      </c>
      <c r="R32" t="s">
        <v>130</v>
      </c>
      <c r="S32" t="s">
        <v>35</v>
      </c>
      <c r="T32" s="3">
        <v>218908</v>
      </c>
    </row>
    <row r="33" spans="4:20" x14ac:dyDescent="0.2">
      <c r="D33" s="2"/>
      <c r="E33" s="3"/>
      <c r="P33" t="s">
        <v>131</v>
      </c>
      <c r="Q33" t="s">
        <v>133</v>
      </c>
      <c r="R33" t="s">
        <v>16</v>
      </c>
      <c r="S33" t="s">
        <v>17</v>
      </c>
      <c r="T33" s="3">
        <v>4467</v>
      </c>
    </row>
    <row r="34" spans="4:20" x14ac:dyDescent="0.2">
      <c r="D34" s="18"/>
      <c r="E34" s="19"/>
      <c r="P34" t="s">
        <v>134</v>
      </c>
      <c r="Q34" t="s">
        <v>129</v>
      </c>
      <c r="R34" t="s">
        <v>79</v>
      </c>
      <c r="S34" t="s">
        <v>26</v>
      </c>
      <c r="T34" s="3">
        <v>9621</v>
      </c>
    </row>
    <row r="35" spans="4:20" x14ac:dyDescent="0.2">
      <c r="P35" t="s">
        <v>136</v>
      </c>
      <c r="Q35" t="s">
        <v>40</v>
      </c>
      <c r="R35" t="s">
        <v>59</v>
      </c>
      <c r="S35" t="s">
        <v>26</v>
      </c>
      <c r="T35" s="3">
        <v>23452</v>
      </c>
    </row>
    <row r="36" spans="4:20" x14ac:dyDescent="0.2">
      <c r="P36" t="s">
        <v>138</v>
      </c>
      <c r="Q36" t="s">
        <v>133</v>
      </c>
      <c r="R36" t="s">
        <v>90</v>
      </c>
      <c r="S36" t="s">
        <v>42</v>
      </c>
      <c r="T36" s="3">
        <v>15564</v>
      </c>
    </row>
    <row r="37" spans="4:20" x14ac:dyDescent="0.2">
      <c r="P37" t="s">
        <v>140</v>
      </c>
      <c r="Q37" t="s">
        <v>75</v>
      </c>
      <c r="R37" t="s">
        <v>90</v>
      </c>
      <c r="S37" t="s">
        <v>42</v>
      </c>
      <c r="T37" s="3">
        <v>5576</v>
      </c>
    </row>
    <row r="38" spans="4:20" x14ac:dyDescent="0.2">
      <c r="P38" t="s">
        <v>142</v>
      </c>
      <c r="Q38" t="s">
        <v>50</v>
      </c>
      <c r="R38" t="s">
        <v>63</v>
      </c>
      <c r="S38" t="s">
        <v>52</v>
      </c>
      <c r="T38" s="3">
        <v>2196</v>
      </c>
    </row>
    <row r="39" spans="4:20" x14ac:dyDescent="0.2">
      <c r="P39" t="s">
        <v>145</v>
      </c>
      <c r="Q39" t="s">
        <v>146</v>
      </c>
      <c r="R39" t="s">
        <v>147</v>
      </c>
      <c r="S39" t="s">
        <v>52</v>
      </c>
      <c r="T39" s="3">
        <v>6790</v>
      </c>
    </row>
    <row r="40" spans="4:20" x14ac:dyDescent="0.2">
      <c r="P40" t="s">
        <v>148</v>
      </c>
      <c r="Q40" t="s">
        <v>112</v>
      </c>
      <c r="R40" t="s">
        <v>90</v>
      </c>
      <c r="S40" t="s">
        <v>42</v>
      </c>
      <c r="T40" s="3">
        <v>22584</v>
      </c>
    </row>
    <row r="41" spans="4:20" x14ac:dyDescent="0.2">
      <c r="P41" t="s">
        <v>150</v>
      </c>
      <c r="Q41" t="s">
        <v>50</v>
      </c>
      <c r="R41" t="s">
        <v>41</v>
      </c>
      <c r="S41" t="s">
        <v>42</v>
      </c>
      <c r="T41" s="3">
        <v>20496</v>
      </c>
    </row>
    <row r="42" spans="4:20" x14ac:dyDescent="0.2">
      <c r="P42" t="s">
        <v>151</v>
      </c>
      <c r="Q42" t="s">
        <v>58</v>
      </c>
      <c r="R42" t="s">
        <v>116</v>
      </c>
      <c r="S42" t="s">
        <v>17</v>
      </c>
      <c r="T42" s="3">
        <v>8466</v>
      </c>
    </row>
    <row r="43" spans="4:20" x14ac:dyDescent="0.2">
      <c r="P43" t="s">
        <v>153</v>
      </c>
      <c r="Q43" t="s">
        <v>122</v>
      </c>
      <c r="R43" t="s">
        <v>41</v>
      </c>
      <c r="S43" t="s">
        <v>42</v>
      </c>
      <c r="T43" s="3">
        <v>25865</v>
      </c>
    </row>
    <row r="44" spans="4:20" x14ac:dyDescent="0.2">
      <c r="P44" t="s">
        <v>155</v>
      </c>
      <c r="Q44" t="s">
        <v>58</v>
      </c>
      <c r="R44" t="s">
        <v>116</v>
      </c>
      <c r="S44" t="s">
        <v>17</v>
      </c>
      <c r="T44" s="3">
        <v>12481</v>
      </c>
    </row>
    <row r="45" spans="4:20" x14ac:dyDescent="0.2">
      <c r="P45" t="s">
        <v>157</v>
      </c>
      <c r="Q45" t="s">
        <v>50</v>
      </c>
      <c r="R45" t="s">
        <v>159</v>
      </c>
      <c r="S45" t="s">
        <v>42</v>
      </c>
      <c r="T45" s="3">
        <v>10143</v>
      </c>
    </row>
    <row r="46" spans="4:20" x14ac:dyDescent="0.2">
      <c r="P46" t="s">
        <v>160</v>
      </c>
      <c r="Q46" t="s">
        <v>15</v>
      </c>
      <c r="R46" t="s">
        <v>116</v>
      </c>
      <c r="S46" t="s">
        <v>17</v>
      </c>
      <c r="T46" s="3">
        <v>1016</v>
      </c>
    </row>
    <row r="47" spans="4:20" x14ac:dyDescent="0.2">
      <c r="P47" t="s">
        <v>162</v>
      </c>
      <c r="Q47" t="s">
        <v>24</v>
      </c>
      <c r="R47" t="s">
        <v>51</v>
      </c>
      <c r="S47" t="s">
        <v>52</v>
      </c>
      <c r="T47" s="3">
        <v>2284</v>
      </c>
    </row>
    <row r="48" spans="4:20" x14ac:dyDescent="0.2">
      <c r="P48" t="s">
        <v>164</v>
      </c>
      <c r="Q48" t="s">
        <v>45</v>
      </c>
      <c r="R48" t="s">
        <v>165</v>
      </c>
      <c r="S48" t="s">
        <v>35</v>
      </c>
      <c r="T48" s="3">
        <v>87227</v>
      </c>
    </row>
    <row r="49" spans="16:20" x14ac:dyDescent="0.2">
      <c r="P49" t="s">
        <v>166</v>
      </c>
      <c r="Q49" t="s">
        <v>133</v>
      </c>
      <c r="R49" t="s">
        <v>69</v>
      </c>
      <c r="S49" t="s">
        <v>26</v>
      </c>
      <c r="T49" s="3">
        <v>46092</v>
      </c>
    </row>
    <row r="50" spans="16:20" x14ac:dyDescent="0.2">
      <c r="P50" t="s">
        <v>168</v>
      </c>
      <c r="Q50" t="s">
        <v>170</v>
      </c>
      <c r="R50" t="s">
        <v>159</v>
      </c>
      <c r="S50" t="s">
        <v>42</v>
      </c>
      <c r="T50" s="3">
        <v>22540</v>
      </c>
    </row>
    <row r="51" spans="16:20" x14ac:dyDescent="0.2">
      <c r="P51" t="s">
        <v>171</v>
      </c>
      <c r="Q51" t="s">
        <v>103</v>
      </c>
      <c r="R51" t="s">
        <v>159</v>
      </c>
      <c r="S51" t="s">
        <v>42</v>
      </c>
      <c r="T51" s="3">
        <v>23534</v>
      </c>
    </row>
    <row r="52" spans="16:20" x14ac:dyDescent="0.2">
      <c r="P52" t="s">
        <v>173</v>
      </c>
      <c r="Q52" t="s">
        <v>125</v>
      </c>
      <c r="R52" t="s">
        <v>25</v>
      </c>
      <c r="S52" t="s">
        <v>26</v>
      </c>
      <c r="T52" s="3">
        <v>39584</v>
      </c>
    </row>
    <row r="53" spans="16:20" x14ac:dyDescent="0.2">
      <c r="P53" t="s">
        <v>175</v>
      </c>
      <c r="Q53" t="s">
        <v>129</v>
      </c>
      <c r="R53" t="s">
        <v>34</v>
      </c>
      <c r="S53" t="s">
        <v>35</v>
      </c>
      <c r="T53" s="3">
        <v>258124</v>
      </c>
    </row>
    <row r="54" spans="16:20" x14ac:dyDescent="0.2">
      <c r="P54" t="s">
        <v>177</v>
      </c>
      <c r="Q54" t="s">
        <v>179</v>
      </c>
      <c r="R54" t="s">
        <v>130</v>
      </c>
      <c r="S54" t="s">
        <v>35</v>
      </c>
      <c r="T54" s="3">
        <v>87718</v>
      </c>
    </row>
    <row r="55" spans="16:20" x14ac:dyDescent="0.2">
      <c r="P55" t="s">
        <v>180</v>
      </c>
      <c r="Q55" t="s">
        <v>103</v>
      </c>
      <c r="R55" t="s">
        <v>59</v>
      </c>
      <c r="S55" t="s">
        <v>26</v>
      </c>
      <c r="T55" s="3">
        <v>23008</v>
      </c>
    </row>
    <row r="56" spans="16:20" x14ac:dyDescent="0.2">
      <c r="P56" t="s">
        <v>182</v>
      </c>
      <c r="Q56" t="s">
        <v>103</v>
      </c>
      <c r="R56" t="s">
        <v>51</v>
      </c>
      <c r="S56" t="s">
        <v>52</v>
      </c>
      <c r="T56" s="3">
        <v>1414</v>
      </c>
    </row>
    <row r="57" spans="16:20" x14ac:dyDescent="0.2">
      <c r="P57" t="s">
        <v>184</v>
      </c>
      <c r="Q57" t="s">
        <v>78</v>
      </c>
      <c r="R57" t="s">
        <v>90</v>
      </c>
      <c r="S57" t="s">
        <v>42</v>
      </c>
      <c r="T57" s="3">
        <v>3189</v>
      </c>
    </row>
    <row r="58" spans="16:20" x14ac:dyDescent="0.2">
      <c r="P58" t="s">
        <v>186</v>
      </c>
      <c r="Q58" t="s">
        <v>75</v>
      </c>
      <c r="R58" t="s">
        <v>90</v>
      </c>
      <c r="S58" t="s">
        <v>42</v>
      </c>
      <c r="T58" s="3">
        <v>10584</v>
      </c>
    </row>
    <row r="59" spans="16:20" x14ac:dyDescent="0.2">
      <c r="P59" t="s">
        <v>188</v>
      </c>
      <c r="Q59" t="s">
        <v>40</v>
      </c>
      <c r="R59" t="s">
        <v>25</v>
      </c>
      <c r="S59" t="s">
        <v>26</v>
      </c>
      <c r="T59" s="3">
        <v>5571</v>
      </c>
    </row>
    <row r="60" spans="16:20" x14ac:dyDescent="0.2">
      <c r="P60" t="s">
        <v>190</v>
      </c>
      <c r="Q60" t="s">
        <v>72</v>
      </c>
      <c r="R60" t="s">
        <v>109</v>
      </c>
      <c r="S60" t="s">
        <v>52</v>
      </c>
      <c r="T60" s="3">
        <v>2880</v>
      </c>
    </row>
    <row r="61" spans="16:20" x14ac:dyDescent="0.2">
      <c r="P61" t="s">
        <v>193</v>
      </c>
      <c r="Q61" t="s">
        <v>146</v>
      </c>
      <c r="R61" t="s">
        <v>165</v>
      </c>
      <c r="S61" t="s">
        <v>35</v>
      </c>
      <c r="T61" s="3">
        <v>319665</v>
      </c>
    </row>
    <row r="62" spans="16:20" x14ac:dyDescent="0.2">
      <c r="P62" t="s">
        <v>194</v>
      </c>
      <c r="Q62" t="s">
        <v>58</v>
      </c>
      <c r="R62" t="s">
        <v>165</v>
      </c>
      <c r="S62" t="s">
        <v>35</v>
      </c>
      <c r="T62" s="3">
        <v>77892</v>
      </c>
    </row>
    <row r="63" spans="16:20" x14ac:dyDescent="0.2">
      <c r="P63" t="s">
        <v>196</v>
      </c>
      <c r="Q63" t="s">
        <v>170</v>
      </c>
      <c r="R63" t="s">
        <v>69</v>
      </c>
      <c r="S63" t="s">
        <v>26</v>
      </c>
      <c r="T63" s="3">
        <v>25500</v>
      </c>
    </row>
    <row r="64" spans="16:20" x14ac:dyDescent="0.2">
      <c r="P64" t="s">
        <v>198</v>
      </c>
      <c r="Q64" t="s">
        <v>170</v>
      </c>
      <c r="R64" t="s">
        <v>97</v>
      </c>
      <c r="S64" t="s">
        <v>35</v>
      </c>
      <c r="T64" s="3">
        <v>596816</v>
      </c>
    </row>
    <row r="65" spans="16:20" x14ac:dyDescent="0.2">
      <c r="P65" t="s">
        <v>200</v>
      </c>
      <c r="Q65" t="s">
        <v>179</v>
      </c>
      <c r="R65" t="s">
        <v>69</v>
      </c>
      <c r="S65" t="s">
        <v>26</v>
      </c>
      <c r="T65" s="3">
        <v>8967</v>
      </c>
    </row>
    <row r="66" spans="16:20" x14ac:dyDescent="0.2">
      <c r="P66" t="s">
        <v>202</v>
      </c>
      <c r="Q66" t="s">
        <v>75</v>
      </c>
      <c r="R66" t="s">
        <v>90</v>
      </c>
      <c r="S66" t="s">
        <v>42</v>
      </c>
      <c r="T66" s="3">
        <v>3245</v>
      </c>
    </row>
    <row r="67" spans="16:20" x14ac:dyDescent="0.2">
      <c r="P67" t="s">
        <v>204</v>
      </c>
      <c r="Q67" t="s">
        <v>50</v>
      </c>
      <c r="R67" t="s">
        <v>86</v>
      </c>
      <c r="S67" t="s">
        <v>17</v>
      </c>
      <c r="T67" s="3">
        <v>6710</v>
      </c>
    </row>
    <row r="68" spans="16:20" x14ac:dyDescent="0.2">
      <c r="P68" t="s">
        <v>206</v>
      </c>
      <c r="Q68" t="s">
        <v>72</v>
      </c>
      <c r="R68" t="s">
        <v>97</v>
      </c>
      <c r="S68" t="s">
        <v>35</v>
      </c>
      <c r="T68" s="3">
        <v>208160</v>
      </c>
    </row>
    <row r="69" spans="16:20" x14ac:dyDescent="0.2">
      <c r="P69" t="s">
        <v>208</v>
      </c>
      <c r="Q69" t="s">
        <v>33</v>
      </c>
      <c r="R69" t="s">
        <v>165</v>
      </c>
      <c r="S69" t="s">
        <v>35</v>
      </c>
      <c r="T69" s="3">
        <v>190589</v>
      </c>
    </row>
    <row r="70" spans="16:20" x14ac:dyDescent="0.2">
      <c r="P70" t="s">
        <v>210</v>
      </c>
      <c r="Q70" t="s">
        <v>68</v>
      </c>
      <c r="R70" t="s">
        <v>159</v>
      </c>
      <c r="S70" t="s">
        <v>42</v>
      </c>
      <c r="T70" s="3">
        <v>3419</v>
      </c>
    </row>
    <row r="71" spans="16:20" x14ac:dyDescent="0.2">
      <c r="P71" t="s">
        <v>212</v>
      </c>
      <c r="Q71" t="s">
        <v>170</v>
      </c>
      <c r="R71" t="s">
        <v>51</v>
      </c>
      <c r="S71" t="s">
        <v>52</v>
      </c>
      <c r="T71" s="3">
        <v>6519</v>
      </c>
    </row>
    <row r="72" spans="16:20" x14ac:dyDescent="0.2">
      <c r="P72" t="s">
        <v>214</v>
      </c>
      <c r="Q72" t="s">
        <v>146</v>
      </c>
      <c r="R72" t="s">
        <v>41</v>
      </c>
      <c r="S72" t="s">
        <v>42</v>
      </c>
      <c r="T72" s="3">
        <v>2880</v>
      </c>
    </row>
    <row r="73" spans="16:20" x14ac:dyDescent="0.2">
      <c r="P73" t="s">
        <v>216</v>
      </c>
      <c r="Q73" t="s">
        <v>24</v>
      </c>
      <c r="R73" t="s">
        <v>218</v>
      </c>
      <c r="S73" t="s">
        <v>17</v>
      </c>
      <c r="T73" s="3">
        <v>5170</v>
      </c>
    </row>
    <row r="74" spans="16:20" x14ac:dyDescent="0.2">
      <c r="P74" t="s">
        <v>219</v>
      </c>
      <c r="Q74" t="s">
        <v>40</v>
      </c>
      <c r="R74" t="s">
        <v>79</v>
      </c>
      <c r="S74" t="s">
        <v>26</v>
      </c>
      <c r="T74" s="3">
        <v>14949</v>
      </c>
    </row>
    <row r="75" spans="16:20" x14ac:dyDescent="0.2">
      <c r="P75" t="s">
        <v>221</v>
      </c>
      <c r="Q75" t="s">
        <v>125</v>
      </c>
      <c r="R75" t="s">
        <v>46</v>
      </c>
      <c r="S75" t="s">
        <v>42</v>
      </c>
      <c r="T75" s="3">
        <v>22210</v>
      </c>
    </row>
    <row r="76" spans="16:20" x14ac:dyDescent="0.2">
      <c r="P76" t="s">
        <v>223</v>
      </c>
      <c r="Q76" t="s">
        <v>45</v>
      </c>
      <c r="R76" t="s">
        <v>59</v>
      </c>
      <c r="S76" t="s">
        <v>26</v>
      </c>
      <c r="T76" s="3">
        <v>26485</v>
      </c>
    </row>
    <row r="77" spans="16:20" x14ac:dyDescent="0.2">
      <c r="P77" t="s">
        <v>225</v>
      </c>
      <c r="Q77" t="s">
        <v>40</v>
      </c>
      <c r="R77" t="s">
        <v>109</v>
      </c>
      <c r="S77" t="s">
        <v>52</v>
      </c>
      <c r="T77" s="3">
        <v>5104</v>
      </c>
    </row>
    <row r="78" spans="16:20" x14ac:dyDescent="0.2">
      <c r="P78" t="s">
        <v>227</v>
      </c>
      <c r="Q78" t="s">
        <v>112</v>
      </c>
      <c r="R78" t="s">
        <v>147</v>
      </c>
      <c r="S78" t="s">
        <v>52</v>
      </c>
      <c r="T78" s="3">
        <v>5814</v>
      </c>
    </row>
    <row r="79" spans="16:20" x14ac:dyDescent="0.2">
      <c r="P79" t="s">
        <v>229</v>
      </c>
      <c r="Q79" t="s">
        <v>78</v>
      </c>
      <c r="R79" t="s">
        <v>97</v>
      </c>
      <c r="S79" t="s">
        <v>35</v>
      </c>
      <c r="T79" s="3">
        <v>74214</v>
      </c>
    </row>
    <row r="80" spans="16:20" x14ac:dyDescent="0.2">
      <c r="P80" t="s">
        <v>230</v>
      </c>
      <c r="Q80" t="s">
        <v>68</v>
      </c>
      <c r="R80" t="s">
        <v>218</v>
      </c>
      <c r="S80" t="s">
        <v>17</v>
      </c>
      <c r="T80" s="3">
        <v>2462</v>
      </c>
    </row>
    <row r="81" spans="16:20" x14ac:dyDescent="0.2">
      <c r="P81" t="s">
        <v>232</v>
      </c>
      <c r="Q81" t="s">
        <v>33</v>
      </c>
      <c r="R81" t="s">
        <v>218</v>
      </c>
      <c r="S81" t="s">
        <v>17</v>
      </c>
      <c r="T81" s="3">
        <v>6504</v>
      </c>
    </row>
    <row r="82" spans="16:20" x14ac:dyDescent="0.2">
      <c r="P82" t="s">
        <v>234</v>
      </c>
      <c r="Q82" t="s">
        <v>133</v>
      </c>
      <c r="R82" t="s">
        <v>16</v>
      </c>
      <c r="S82" t="s">
        <v>17</v>
      </c>
      <c r="T82" s="3">
        <v>3285</v>
      </c>
    </row>
    <row r="83" spans="16:20" x14ac:dyDescent="0.2">
      <c r="P83" t="s">
        <v>236</v>
      </c>
      <c r="Q83" t="s">
        <v>68</v>
      </c>
      <c r="R83" t="s">
        <v>69</v>
      </c>
      <c r="S83" t="s">
        <v>26</v>
      </c>
      <c r="T83" s="3">
        <v>8085</v>
      </c>
    </row>
    <row r="84" spans="16:20" x14ac:dyDescent="0.2">
      <c r="P84" t="s">
        <v>238</v>
      </c>
      <c r="Q84" t="s">
        <v>33</v>
      </c>
      <c r="R84" t="s">
        <v>116</v>
      </c>
      <c r="S84" t="s">
        <v>17</v>
      </c>
      <c r="T84" s="3">
        <v>2200</v>
      </c>
    </row>
    <row r="85" spans="16:20" x14ac:dyDescent="0.2">
      <c r="P85" t="s">
        <v>239</v>
      </c>
      <c r="Q85" t="s">
        <v>103</v>
      </c>
      <c r="R85" t="s">
        <v>79</v>
      </c>
      <c r="S85" t="s">
        <v>26</v>
      </c>
      <c r="T85" s="3">
        <v>12868</v>
      </c>
    </row>
    <row r="86" spans="16:20" x14ac:dyDescent="0.2">
      <c r="P86" t="s">
        <v>240</v>
      </c>
      <c r="Q86" t="s">
        <v>103</v>
      </c>
      <c r="R86" t="s">
        <v>147</v>
      </c>
      <c r="S86" t="s">
        <v>52</v>
      </c>
      <c r="T86" s="3">
        <v>310</v>
      </c>
    </row>
    <row r="87" spans="16:20" x14ac:dyDescent="0.2">
      <c r="P87" t="s">
        <v>241</v>
      </c>
      <c r="Q87" t="s">
        <v>45</v>
      </c>
      <c r="R87" t="s">
        <v>25</v>
      </c>
      <c r="S87" t="s">
        <v>26</v>
      </c>
      <c r="T87" s="3">
        <v>20688</v>
      </c>
    </row>
    <row r="88" spans="16:20" x14ac:dyDescent="0.2">
      <c r="P88" t="s">
        <v>243</v>
      </c>
      <c r="Q88" t="s">
        <v>45</v>
      </c>
      <c r="R88" t="s">
        <v>16</v>
      </c>
      <c r="S88" t="s">
        <v>17</v>
      </c>
      <c r="T88" s="3">
        <v>8211</v>
      </c>
    </row>
    <row r="89" spans="16:20" x14ac:dyDescent="0.2">
      <c r="P89" t="s">
        <v>245</v>
      </c>
      <c r="Q89" t="s">
        <v>68</v>
      </c>
      <c r="R89" t="s">
        <v>165</v>
      </c>
      <c r="S89" t="s">
        <v>35</v>
      </c>
      <c r="T89" s="3">
        <v>246912</v>
      </c>
    </row>
    <row r="90" spans="16:20" x14ac:dyDescent="0.2">
      <c r="P90" t="s">
        <v>247</v>
      </c>
      <c r="Q90" t="s">
        <v>129</v>
      </c>
      <c r="R90" t="s">
        <v>159</v>
      </c>
      <c r="S90" t="s">
        <v>42</v>
      </c>
      <c r="T90" s="3">
        <v>8868</v>
      </c>
    </row>
    <row r="91" spans="16:20" x14ac:dyDescent="0.2">
      <c r="P91" t="s">
        <v>248</v>
      </c>
      <c r="Q91" t="s">
        <v>68</v>
      </c>
      <c r="R91" t="s">
        <v>16</v>
      </c>
      <c r="S91" t="s">
        <v>17</v>
      </c>
      <c r="T91" s="3">
        <v>3479</v>
      </c>
    </row>
    <row r="92" spans="16:20" x14ac:dyDescent="0.2">
      <c r="P92" t="s">
        <v>249</v>
      </c>
      <c r="Q92" t="s">
        <v>122</v>
      </c>
      <c r="R92" t="s">
        <v>218</v>
      </c>
      <c r="S92" t="s">
        <v>17</v>
      </c>
      <c r="T92" s="3">
        <v>5100</v>
      </c>
    </row>
    <row r="93" spans="16:20" x14ac:dyDescent="0.2">
      <c r="P93" t="s">
        <v>251</v>
      </c>
      <c r="Q93" t="s">
        <v>170</v>
      </c>
      <c r="R93" t="s">
        <v>218</v>
      </c>
      <c r="S93" t="s">
        <v>17</v>
      </c>
      <c r="T93" s="3">
        <v>4712</v>
      </c>
    </row>
    <row r="94" spans="16:20" x14ac:dyDescent="0.2">
      <c r="P94" t="s">
        <v>253</v>
      </c>
      <c r="Q94" t="s">
        <v>170</v>
      </c>
      <c r="R94" t="s">
        <v>51</v>
      </c>
      <c r="S94" t="s">
        <v>52</v>
      </c>
      <c r="T94" s="3">
        <v>1125</v>
      </c>
    </row>
    <row r="95" spans="16:20" x14ac:dyDescent="0.2">
      <c r="P95" t="s">
        <v>254</v>
      </c>
      <c r="Q95" t="s">
        <v>146</v>
      </c>
      <c r="R95" t="s">
        <v>165</v>
      </c>
      <c r="S95" t="s">
        <v>35</v>
      </c>
      <c r="T95" s="3">
        <v>46264</v>
      </c>
    </row>
    <row r="96" spans="16:20" x14ac:dyDescent="0.2">
      <c r="P96" t="s">
        <v>256</v>
      </c>
      <c r="Q96" t="s">
        <v>112</v>
      </c>
      <c r="R96" t="s">
        <v>69</v>
      </c>
      <c r="S96" t="s">
        <v>26</v>
      </c>
      <c r="T96" s="3">
        <v>39215</v>
      </c>
    </row>
    <row r="97" spans="16:20" x14ac:dyDescent="0.2">
      <c r="P97" t="s">
        <v>258</v>
      </c>
      <c r="Q97" t="s">
        <v>170</v>
      </c>
      <c r="R97" t="s">
        <v>51</v>
      </c>
      <c r="S97" t="s">
        <v>52</v>
      </c>
      <c r="T97" s="3">
        <v>1087</v>
      </c>
    </row>
    <row r="98" spans="16:20" x14ac:dyDescent="0.2">
      <c r="P98" t="s">
        <v>260</v>
      </c>
      <c r="Q98" t="s">
        <v>50</v>
      </c>
      <c r="R98" t="s">
        <v>159</v>
      </c>
      <c r="S98" t="s">
        <v>42</v>
      </c>
      <c r="T98" s="3">
        <v>36939</v>
      </c>
    </row>
    <row r="99" spans="16:20" x14ac:dyDescent="0.2">
      <c r="P99" t="s">
        <v>262</v>
      </c>
      <c r="Q99" t="s">
        <v>50</v>
      </c>
      <c r="R99" t="s">
        <v>116</v>
      </c>
      <c r="S99" t="s">
        <v>17</v>
      </c>
      <c r="T99" s="3">
        <v>8874</v>
      </c>
    </row>
    <row r="100" spans="16:20" x14ac:dyDescent="0.2">
      <c r="P100" t="s">
        <v>264</v>
      </c>
      <c r="Q100" t="s">
        <v>50</v>
      </c>
      <c r="R100" t="s">
        <v>69</v>
      </c>
      <c r="S100" t="s">
        <v>26</v>
      </c>
      <c r="T100" s="3">
        <v>47628</v>
      </c>
    </row>
    <row r="101" spans="16:20" x14ac:dyDescent="0.2">
      <c r="P101" t="s">
        <v>265</v>
      </c>
      <c r="Q101" t="s">
        <v>122</v>
      </c>
      <c r="R101" t="s">
        <v>34</v>
      </c>
      <c r="S101" t="s">
        <v>35</v>
      </c>
      <c r="T101" s="3">
        <v>55830</v>
      </c>
    </row>
    <row r="102" spans="16:20" x14ac:dyDescent="0.2">
      <c r="P102" t="s">
        <v>266</v>
      </c>
      <c r="Q102" t="s">
        <v>58</v>
      </c>
      <c r="R102" t="s">
        <v>63</v>
      </c>
      <c r="S102" t="s">
        <v>52</v>
      </c>
      <c r="T102" s="3">
        <v>1674</v>
      </c>
    </row>
    <row r="103" spans="16:20" x14ac:dyDescent="0.2">
      <c r="P103" t="s">
        <v>268</v>
      </c>
      <c r="Q103" t="s">
        <v>40</v>
      </c>
      <c r="R103" t="s">
        <v>51</v>
      </c>
      <c r="S103" t="s">
        <v>52</v>
      </c>
      <c r="T103" s="3">
        <v>11920</v>
      </c>
    </row>
    <row r="104" spans="16:20" x14ac:dyDescent="0.2">
      <c r="P104" t="s">
        <v>269</v>
      </c>
      <c r="Q104" t="s">
        <v>146</v>
      </c>
      <c r="R104" t="s">
        <v>218</v>
      </c>
      <c r="S104" t="s">
        <v>17</v>
      </c>
      <c r="T104" s="3">
        <v>3240</v>
      </c>
    </row>
    <row r="105" spans="16:20" x14ac:dyDescent="0.2">
      <c r="P105" t="s">
        <v>270</v>
      </c>
      <c r="Q105" t="s">
        <v>33</v>
      </c>
      <c r="R105" t="s">
        <v>69</v>
      </c>
      <c r="S105" t="s">
        <v>26</v>
      </c>
      <c r="T105" s="3">
        <v>6543</v>
      </c>
    </row>
    <row r="106" spans="16:20" x14ac:dyDescent="0.2">
      <c r="P106" t="s">
        <v>272</v>
      </c>
      <c r="Q106" t="s">
        <v>75</v>
      </c>
      <c r="R106" t="s">
        <v>79</v>
      </c>
      <c r="S106" t="s">
        <v>26</v>
      </c>
      <c r="T106" s="3">
        <v>71538</v>
      </c>
    </row>
    <row r="107" spans="16:20" x14ac:dyDescent="0.2">
      <c r="P107" t="s">
        <v>274</v>
      </c>
      <c r="Q107" t="s">
        <v>72</v>
      </c>
      <c r="R107" t="s">
        <v>130</v>
      </c>
      <c r="S107" t="s">
        <v>35</v>
      </c>
      <c r="T107" s="3">
        <v>236640</v>
      </c>
    </row>
    <row r="108" spans="16:20" x14ac:dyDescent="0.2">
      <c r="P108" t="s">
        <v>276</v>
      </c>
      <c r="Q108" t="s">
        <v>15</v>
      </c>
      <c r="R108" t="s">
        <v>69</v>
      </c>
      <c r="S108" t="s">
        <v>26</v>
      </c>
      <c r="T108" s="3">
        <v>70704</v>
      </c>
    </row>
    <row r="109" spans="16:20" x14ac:dyDescent="0.2">
      <c r="P109" t="s">
        <v>278</v>
      </c>
      <c r="Q109" t="s">
        <v>112</v>
      </c>
      <c r="R109" t="s">
        <v>109</v>
      </c>
      <c r="S109" t="s">
        <v>52</v>
      </c>
      <c r="T109" s="3">
        <v>3252</v>
      </c>
    </row>
    <row r="110" spans="16:20" x14ac:dyDescent="0.2">
      <c r="P110" t="s">
        <v>280</v>
      </c>
      <c r="Q110" t="s">
        <v>133</v>
      </c>
      <c r="R110" t="s">
        <v>79</v>
      </c>
      <c r="S110" t="s">
        <v>26</v>
      </c>
      <c r="T110" s="3">
        <v>24584</v>
      </c>
    </row>
    <row r="111" spans="16:20" x14ac:dyDescent="0.2">
      <c r="P111" t="s">
        <v>281</v>
      </c>
      <c r="Q111" t="s">
        <v>146</v>
      </c>
      <c r="R111" t="s">
        <v>59</v>
      </c>
      <c r="S111" t="s">
        <v>26</v>
      </c>
      <c r="T111" s="3">
        <v>15912</v>
      </c>
    </row>
    <row r="112" spans="16:20" x14ac:dyDescent="0.2">
      <c r="P112" t="s">
        <v>283</v>
      </c>
      <c r="Q112" t="s">
        <v>40</v>
      </c>
      <c r="R112" t="s">
        <v>63</v>
      </c>
      <c r="S112" t="s">
        <v>52</v>
      </c>
      <c r="T112" s="3">
        <v>1389</v>
      </c>
    </row>
    <row r="113" spans="16:20" x14ac:dyDescent="0.2">
      <c r="P113" t="s">
        <v>285</v>
      </c>
      <c r="Q113" t="s">
        <v>122</v>
      </c>
      <c r="R113" t="s">
        <v>159</v>
      </c>
      <c r="S113" t="s">
        <v>42</v>
      </c>
      <c r="T113" s="3">
        <v>1836</v>
      </c>
    </row>
    <row r="114" spans="16:20" x14ac:dyDescent="0.2">
      <c r="P114" t="s">
        <v>287</v>
      </c>
      <c r="Q114" t="s">
        <v>72</v>
      </c>
      <c r="R114" t="s">
        <v>147</v>
      </c>
      <c r="S114" t="s">
        <v>52</v>
      </c>
      <c r="T114" s="3">
        <v>3246</v>
      </c>
    </row>
    <row r="115" spans="16:20" x14ac:dyDescent="0.2">
      <c r="P115" t="s">
        <v>289</v>
      </c>
      <c r="Q115" t="s">
        <v>40</v>
      </c>
      <c r="R115" t="s">
        <v>25</v>
      </c>
      <c r="S115" t="s">
        <v>26</v>
      </c>
      <c r="T115" s="3">
        <v>10775</v>
      </c>
    </row>
    <row r="116" spans="16:20" x14ac:dyDescent="0.2">
      <c r="P116" t="s">
        <v>291</v>
      </c>
      <c r="Q116" t="s">
        <v>72</v>
      </c>
      <c r="R116" t="s">
        <v>86</v>
      </c>
      <c r="S116" t="s">
        <v>17</v>
      </c>
      <c r="T116" s="3">
        <v>3424</v>
      </c>
    </row>
    <row r="117" spans="16:20" x14ac:dyDescent="0.2">
      <c r="P117" t="s">
        <v>293</v>
      </c>
      <c r="Q117" t="s">
        <v>50</v>
      </c>
      <c r="R117" t="s">
        <v>59</v>
      </c>
      <c r="S117" t="s">
        <v>26</v>
      </c>
      <c r="T117" s="3">
        <v>13356</v>
      </c>
    </row>
    <row r="118" spans="16:20" x14ac:dyDescent="0.2">
      <c r="P118" t="s">
        <v>295</v>
      </c>
      <c r="Q118" t="s">
        <v>72</v>
      </c>
      <c r="R118" t="s">
        <v>130</v>
      </c>
      <c r="S118" t="s">
        <v>35</v>
      </c>
      <c r="T118" s="3">
        <v>204624</v>
      </c>
    </row>
    <row r="119" spans="16:20" x14ac:dyDescent="0.2">
      <c r="P119" t="s">
        <v>297</v>
      </c>
      <c r="Q119" t="s">
        <v>33</v>
      </c>
      <c r="R119" t="s">
        <v>51</v>
      </c>
      <c r="S119" t="s">
        <v>52</v>
      </c>
      <c r="T119" s="3">
        <v>7968</v>
      </c>
    </row>
    <row r="120" spans="16:20" x14ac:dyDescent="0.2">
      <c r="P120" t="s">
        <v>299</v>
      </c>
      <c r="Q120" t="s">
        <v>170</v>
      </c>
      <c r="R120" t="s">
        <v>165</v>
      </c>
      <c r="S120" t="s">
        <v>35</v>
      </c>
      <c r="T120" s="3">
        <v>220384</v>
      </c>
    </row>
    <row r="121" spans="16:20" x14ac:dyDescent="0.2">
      <c r="P121" t="s">
        <v>301</v>
      </c>
      <c r="Q121" t="s">
        <v>75</v>
      </c>
      <c r="R121" t="s">
        <v>90</v>
      </c>
      <c r="S121" t="s">
        <v>42</v>
      </c>
      <c r="T121" s="3">
        <v>33425</v>
      </c>
    </row>
    <row r="122" spans="16:20" x14ac:dyDescent="0.2">
      <c r="P122" t="s">
        <v>303</v>
      </c>
      <c r="Q122" t="s">
        <v>45</v>
      </c>
      <c r="R122" t="s">
        <v>159</v>
      </c>
      <c r="S122" t="s">
        <v>42</v>
      </c>
      <c r="T122" s="3">
        <v>16930</v>
      </c>
    </row>
    <row r="123" spans="16:20" x14ac:dyDescent="0.2">
      <c r="P123" t="s">
        <v>305</v>
      </c>
      <c r="Q123" t="s">
        <v>75</v>
      </c>
      <c r="R123" t="s">
        <v>46</v>
      </c>
      <c r="S123" t="s">
        <v>42</v>
      </c>
      <c r="T123" s="3">
        <v>4263</v>
      </c>
    </row>
    <row r="124" spans="16:20" x14ac:dyDescent="0.2">
      <c r="P124" t="s">
        <v>307</v>
      </c>
      <c r="Q124" t="s">
        <v>129</v>
      </c>
      <c r="R124" t="s">
        <v>79</v>
      </c>
      <c r="S124" t="s">
        <v>26</v>
      </c>
      <c r="T124" s="3">
        <v>5703</v>
      </c>
    </row>
    <row r="125" spans="16:20" x14ac:dyDescent="0.2">
      <c r="P125" t="s">
        <v>309</v>
      </c>
      <c r="Q125" t="s">
        <v>122</v>
      </c>
      <c r="R125" t="s">
        <v>46</v>
      </c>
      <c r="S125" t="s">
        <v>42</v>
      </c>
      <c r="T125" s="3">
        <v>29648</v>
      </c>
    </row>
    <row r="126" spans="16:20" x14ac:dyDescent="0.2">
      <c r="P126" t="s">
        <v>311</v>
      </c>
      <c r="Q126" t="s">
        <v>179</v>
      </c>
      <c r="R126" t="s">
        <v>90</v>
      </c>
      <c r="S126" t="s">
        <v>42</v>
      </c>
      <c r="T126" s="3">
        <v>4914</v>
      </c>
    </row>
    <row r="127" spans="16:20" x14ac:dyDescent="0.2">
      <c r="P127" t="s">
        <v>312</v>
      </c>
      <c r="Q127" t="s">
        <v>24</v>
      </c>
      <c r="R127" t="s">
        <v>159</v>
      </c>
      <c r="S127" t="s">
        <v>42</v>
      </c>
      <c r="T127" s="3">
        <v>2462</v>
      </c>
    </row>
    <row r="128" spans="16:20" x14ac:dyDescent="0.2">
      <c r="P128" t="s">
        <v>314</v>
      </c>
      <c r="Q128" t="s">
        <v>146</v>
      </c>
      <c r="R128" t="s">
        <v>79</v>
      </c>
      <c r="S128" t="s">
        <v>26</v>
      </c>
      <c r="T128" s="3">
        <v>26848</v>
      </c>
    </row>
    <row r="129" spans="16:20" x14ac:dyDescent="0.2">
      <c r="P129" t="s">
        <v>315</v>
      </c>
      <c r="Q129" t="s">
        <v>75</v>
      </c>
      <c r="R129" t="s">
        <v>218</v>
      </c>
      <c r="S129" t="s">
        <v>17</v>
      </c>
      <c r="T129" s="3">
        <v>11008</v>
      </c>
    </row>
    <row r="130" spans="16:20" x14ac:dyDescent="0.2">
      <c r="P130" t="s">
        <v>316</v>
      </c>
      <c r="Q130" t="s">
        <v>170</v>
      </c>
      <c r="R130" t="s">
        <v>63</v>
      </c>
      <c r="S130" t="s">
        <v>52</v>
      </c>
      <c r="T130" s="3">
        <v>3332</v>
      </c>
    </row>
    <row r="131" spans="16:20" x14ac:dyDescent="0.2">
      <c r="P131" t="s">
        <v>317</v>
      </c>
      <c r="Q131" t="s">
        <v>112</v>
      </c>
      <c r="R131" t="s">
        <v>59</v>
      </c>
      <c r="S131" t="s">
        <v>26</v>
      </c>
      <c r="T131" s="3">
        <v>28805</v>
      </c>
    </row>
    <row r="132" spans="16:20" x14ac:dyDescent="0.2">
      <c r="P132" t="s">
        <v>318</v>
      </c>
      <c r="Q132" t="s">
        <v>58</v>
      </c>
      <c r="R132" t="s">
        <v>109</v>
      </c>
      <c r="S132" t="s">
        <v>52</v>
      </c>
      <c r="T132" s="3">
        <v>582</v>
      </c>
    </row>
    <row r="133" spans="16:20" x14ac:dyDescent="0.2">
      <c r="P133" t="s">
        <v>320</v>
      </c>
      <c r="Q133" t="s">
        <v>24</v>
      </c>
      <c r="R133" t="s">
        <v>59</v>
      </c>
      <c r="S133" t="s">
        <v>26</v>
      </c>
      <c r="T133" s="3">
        <v>41150</v>
      </c>
    </row>
    <row r="134" spans="16:20" x14ac:dyDescent="0.2">
      <c r="P134" t="s">
        <v>322</v>
      </c>
      <c r="Q134" t="s">
        <v>170</v>
      </c>
      <c r="R134" t="s">
        <v>159</v>
      </c>
      <c r="S134" t="s">
        <v>42</v>
      </c>
      <c r="T134" s="3">
        <v>11898</v>
      </c>
    </row>
    <row r="135" spans="16:20" x14ac:dyDescent="0.2">
      <c r="P135" t="s">
        <v>323</v>
      </c>
      <c r="Q135" t="s">
        <v>170</v>
      </c>
      <c r="R135" t="s">
        <v>97</v>
      </c>
      <c r="S135" t="s">
        <v>35</v>
      </c>
      <c r="T135" s="3">
        <v>121614</v>
      </c>
    </row>
    <row r="136" spans="16:20" x14ac:dyDescent="0.2">
      <c r="P136" t="s">
        <v>325</v>
      </c>
      <c r="Q136" t="s">
        <v>122</v>
      </c>
      <c r="R136" t="s">
        <v>51</v>
      </c>
      <c r="S136" t="s">
        <v>52</v>
      </c>
      <c r="T136" s="3">
        <v>12104</v>
      </c>
    </row>
    <row r="137" spans="16:20" x14ac:dyDescent="0.2">
      <c r="P137" t="s">
        <v>327</v>
      </c>
      <c r="Q137" t="s">
        <v>129</v>
      </c>
      <c r="R137" t="s">
        <v>218</v>
      </c>
      <c r="S137" t="s">
        <v>17</v>
      </c>
      <c r="T137" s="3">
        <v>7080</v>
      </c>
    </row>
    <row r="138" spans="16:20" x14ac:dyDescent="0.2">
      <c r="P138" t="s">
        <v>328</v>
      </c>
      <c r="Q138" t="s">
        <v>45</v>
      </c>
      <c r="R138" t="s">
        <v>41</v>
      </c>
      <c r="S138" t="s">
        <v>42</v>
      </c>
      <c r="T138" s="3">
        <v>15456</v>
      </c>
    </row>
    <row r="139" spans="16:20" x14ac:dyDescent="0.2">
      <c r="P139" t="s">
        <v>329</v>
      </c>
      <c r="Q139" t="s">
        <v>33</v>
      </c>
      <c r="R139" t="s">
        <v>116</v>
      </c>
      <c r="S139" t="s">
        <v>17</v>
      </c>
      <c r="T139" s="3">
        <v>8652</v>
      </c>
    </row>
    <row r="140" spans="16:20" x14ac:dyDescent="0.2">
      <c r="P140" t="s">
        <v>331</v>
      </c>
      <c r="Q140" t="s">
        <v>58</v>
      </c>
      <c r="R140" t="s">
        <v>90</v>
      </c>
      <c r="S140" t="s">
        <v>42</v>
      </c>
      <c r="T140" s="3">
        <v>11757</v>
      </c>
    </row>
    <row r="141" spans="16:20" x14ac:dyDescent="0.2">
      <c r="P141" t="s">
        <v>333</v>
      </c>
      <c r="Q141" t="s">
        <v>45</v>
      </c>
      <c r="R141" t="s">
        <v>41</v>
      </c>
      <c r="S141" t="s">
        <v>42</v>
      </c>
      <c r="T141" s="3">
        <v>32886</v>
      </c>
    </row>
    <row r="142" spans="16:20" x14ac:dyDescent="0.2">
      <c r="P142" t="s">
        <v>335</v>
      </c>
      <c r="Q142" t="s">
        <v>170</v>
      </c>
      <c r="R142" t="s">
        <v>116</v>
      </c>
      <c r="S142" t="s">
        <v>17</v>
      </c>
      <c r="T142" s="3">
        <v>4214</v>
      </c>
    </row>
    <row r="143" spans="16:20" x14ac:dyDescent="0.2">
      <c r="P143" t="s">
        <v>337</v>
      </c>
      <c r="Q143" t="s">
        <v>112</v>
      </c>
      <c r="R143" t="s">
        <v>51</v>
      </c>
      <c r="S143" t="s">
        <v>52</v>
      </c>
      <c r="T143" s="3">
        <v>4040</v>
      </c>
    </row>
    <row r="144" spans="16:20" x14ac:dyDescent="0.2">
      <c r="P144" t="s">
        <v>338</v>
      </c>
      <c r="Q144" t="s">
        <v>78</v>
      </c>
      <c r="R144" t="s">
        <v>46</v>
      </c>
      <c r="S144" t="s">
        <v>42</v>
      </c>
      <c r="T144" s="3">
        <v>27996</v>
      </c>
    </row>
    <row r="145" spans="16:20" x14ac:dyDescent="0.2">
      <c r="P145" t="s">
        <v>339</v>
      </c>
      <c r="Q145" t="s">
        <v>50</v>
      </c>
      <c r="R145" t="s">
        <v>34</v>
      </c>
      <c r="S145" t="s">
        <v>35</v>
      </c>
      <c r="T145" s="3">
        <v>385744</v>
      </c>
    </row>
    <row r="146" spans="16:20" x14ac:dyDescent="0.2">
      <c r="P146" t="s">
        <v>340</v>
      </c>
      <c r="Q146" t="s">
        <v>78</v>
      </c>
      <c r="R146" t="s">
        <v>218</v>
      </c>
      <c r="S146" t="s">
        <v>17</v>
      </c>
      <c r="T146" s="3">
        <v>7230</v>
      </c>
    </row>
    <row r="147" spans="16:20" x14ac:dyDescent="0.2">
      <c r="P147" t="s">
        <v>341</v>
      </c>
      <c r="Q147" t="s">
        <v>170</v>
      </c>
      <c r="R147" t="s">
        <v>86</v>
      </c>
      <c r="S147" t="s">
        <v>17</v>
      </c>
      <c r="T147" s="3">
        <v>1671</v>
      </c>
    </row>
    <row r="148" spans="16:20" x14ac:dyDescent="0.2">
      <c r="P148" t="s">
        <v>343</v>
      </c>
      <c r="Q148" t="s">
        <v>75</v>
      </c>
      <c r="R148" t="s">
        <v>147</v>
      </c>
      <c r="S148" t="s">
        <v>52</v>
      </c>
      <c r="T148" s="3">
        <v>6594</v>
      </c>
    </row>
    <row r="149" spans="16:20" x14ac:dyDescent="0.2">
      <c r="P149" t="s">
        <v>345</v>
      </c>
      <c r="Q149" t="s">
        <v>170</v>
      </c>
      <c r="R149" t="s">
        <v>51</v>
      </c>
      <c r="S149" t="s">
        <v>52</v>
      </c>
      <c r="T149" s="3">
        <v>2279</v>
      </c>
    </row>
    <row r="150" spans="16:20" x14ac:dyDescent="0.2">
      <c r="P150" t="s">
        <v>347</v>
      </c>
      <c r="Q150" t="s">
        <v>15</v>
      </c>
      <c r="R150" t="s">
        <v>51</v>
      </c>
      <c r="S150" t="s">
        <v>52</v>
      </c>
      <c r="T150" s="3">
        <v>6416</v>
      </c>
    </row>
    <row r="151" spans="16:20" x14ac:dyDescent="0.2">
      <c r="P151" t="s">
        <v>349</v>
      </c>
      <c r="Q151" t="s">
        <v>72</v>
      </c>
      <c r="R151" t="s">
        <v>79</v>
      </c>
      <c r="S151" t="s">
        <v>26</v>
      </c>
      <c r="T151" s="3">
        <v>51569</v>
      </c>
    </row>
    <row r="152" spans="16:20" x14ac:dyDescent="0.2">
      <c r="P152" t="s">
        <v>351</v>
      </c>
      <c r="Q152" t="s">
        <v>103</v>
      </c>
      <c r="R152" t="s">
        <v>218</v>
      </c>
      <c r="S152" t="s">
        <v>17</v>
      </c>
      <c r="T152" s="3">
        <v>4856</v>
      </c>
    </row>
    <row r="153" spans="16:20" x14ac:dyDescent="0.2">
      <c r="P153" t="s">
        <v>353</v>
      </c>
      <c r="Q153" t="s">
        <v>129</v>
      </c>
      <c r="R153" t="s">
        <v>16</v>
      </c>
      <c r="S153" t="s">
        <v>17</v>
      </c>
      <c r="T153" s="3">
        <v>3135</v>
      </c>
    </row>
    <row r="154" spans="16:20" x14ac:dyDescent="0.2">
      <c r="P154" t="s">
        <v>355</v>
      </c>
      <c r="Q154" t="s">
        <v>122</v>
      </c>
      <c r="R154" t="s">
        <v>51</v>
      </c>
      <c r="S154" t="s">
        <v>52</v>
      </c>
      <c r="T154" s="3">
        <v>14240</v>
      </c>
    </row>
    <row r="155" spans="16:20" x14ac:dyDescent="0.2">
      <c r="P155" t="s">
        <v>357</v>
      </c>
      <c r="Q155" t="s">
        <v>170</v>
      </c>
      <c r="R155" t="s">
        <v>59</v>
      </c>
      <c r="S155" t="s">
        <v>26</v>
      </c>
      <c r="T155" s="3">
        <v>20366</v>
      </c>
    </row>
    <row r="156" spans="16:20" x14ac:dyDescent="0.2">
      <c r="P156" t="s">
        <v>358</v>
      </c>
      <c r="Q156" t="s">
        <v>78</v>
      </c>
      <c r="R156" t="s">
        <v>51</v>
      </c>
      <c r="S156" t="s">
        <v>52</v>
      </c>
      <c r="T156" s="3">
        <v>16856</v>
      </c>
    </row>
    <row r="157" spans="16:20" x14ac:dyDescent="0.2">
      <c r="P157" t="s">
        <v>360</v>
      </c>
      <c r="Q157" t="s">
        <v>75</v>
      </c>
      <c r="R157" t="s">
        <v>46</v>
      </c>
      <c r="S157" t="s">
        <v>42</v>
      </c>
      <c r="T157" s="3">
        <v>16680</v>
      </c>
    </row>
    <row r="158" spans="16:20" x14ac:dyDescent="0.2">
      <c r="P158" t="s">
        <v>362</v>
      </c>
      <c r="Q158" t="s">
        <v>129</v>
      </c>
      <c r="R158" t="s">
        <v>159</v>
      </c>
      <c r="S158" t="s">
        <v>42</v>
      </c>
      <c r="T158" s="3">
        <v>26544</v>
      </c>
    </row>
    <row r="159" spans="16:20" x14ac:dyDescent="0.2">
      <c r="P159" t="s">
        <v>364</v>
      </c>
      <c r="Q159" t="s">
        <v>122</v>
      </c>
      <c r="R159" t="s">
        <v>79</v>
      </c>
      <c r="S159" t="s">
        <v>26</v>
      </c>
      <c r="T159" s="3">
        <v>7748</v>
      </c>
    </row>
    <row r="160" spans="16:20" x14ac:dyDescent="0.2">
      <c r="P160" t="s">
        <v>366</v>
      </c>
      <c r="Q160" t="s">
        <v>45</v>
      </c>
      <c r="R160" t="s">
        <v>34</v>
      </c>
      <c r="S160" t="s">
        <v>35</v>
      </c>
      <c r="T160" s="3">
        <v>83099</v>
      </c>
    </row>
    <row r="161" spans="16:20" x14ac:dyDescent="0.2">
      <c r="P161" t="s">
        <v>368</v>
      </c>
      <c r="Q161" t="s">
        <v>122</v>
      </c>
      <c r="R161" t="s">
        <v>147</v>
      </c>
      <c r="S161" t="s">
        <v>52</v>
      </c>
      <c r="T161" s="3">
        <v>19680</v>
      </c>
    </row>
    <row r="162" spans="16:20" x14ac:dyDescent="0.2">
      <c r="P162" t="s">
        <v>370</v>
      </c>
      <c r="Q162" t="s">
        <v>133</v>
      </c>
      <c r="R162" t="s">
        <v>109</v>
      </c>
      <c r="S162" t="s">
        <v>52</v>
      </c>
      <c r="T162" s="3">
        <v>5920</v>
      </c>
    </row>
    <row r="163" spans="16:20" x14ac:dyDescent="0.2">
      <c r="P163" t="s">
        <v>372</v>
      </c>
      <c r="Q163" t="s">
        <v>122</v>
      </c>
      <c r="R163" t="s">
        <v>97</v>
      </c>
      <c r="S163" t="s">
        <v>35</v>
      </c>
      <c r="T163" s="3">
        <v>336066</v>
      </c>
    </row>
    <row r="164" spans="16:20" x14ac:dyDescent="0.2">
      <c r="P164" t="s">
        <v>374</v>
      </c>
      <c r="Q164" t="s">
        <v>75</v>
      </c>
      <c r="R164" t="s">
        <v>41</v>
      </c>
      <c r="S164" t="s">
        <v>42</v>
      </c>
      <c r="T164" s="3">
        <v>27167</v>
      </c>
    </row>
    <row r="165" spans="16:20" x14ac:dyDescent="0.2">
      <c r="P165" t="s">
        <v>375</v>
      </c>
      <c r="Q165" t="s">
        <v>125</v>
      </c>
      <c r="R165" t="s">
        <v>79</v>
      </c>
      <c r="S165" t="s">
        <v>26</v>
      </c>
      <c r="T165" s="3">
        <v>52130</v>
      </c>
    </row>
    <row r="166" spans="16:20" x14ac:dyDescent="0.2">
      <c r="P166" t="s">
        <v>377</v>
      </c>
      <c r="Q166" t="s">
        <v>40</v>
      </c>
      <c r="R166" t="s">
        <v>86</v>
      </c>
      <c r="S166" t="s">
        <v>17</v>
      </c>
      <c r="T166" s="3">
        <v>2560</v>
      </c>
    </row>
    <row r="167" spans="16:20" x14ac:dyDescent="0.2">
      <c r="P167" t="s">
        <v>378</v>
      </c>
      <c r="Q167" t="s">
        <v>33</v>
      </c>
      <c r="R167" t="s">
        <v>130</v>
      </c>
      <c r="S167" t="s">
        <v>35</v>
      </c>
      <c r="T167" s="3">
        <v>512296</v>
      </c>
    </row>
    <row r="168" spans="16:20" x14ac:dyDescent="0.2">
      <c r="P168" t="s">
        <v>380</v>
      </c>
      <c r="Q168" t="s">
        <v>125</v>
      </c>
      <c r="R168" t="s">
        <v>218</v>
      </c>
      <c r="S168" t="s">
        <v>17</v>
      </c>
      <c r="T168" s="3">
        <v>6328</v>
      </c>
    </row>
    <row r="169" spans="16:20" x14ac:dyDescent="0.2">
      <c r="P169" t="s">
        <v>382</v>
      </c>
      <c r="Q169" t="s">
        <v>112</v>
      </c>
      <c r="R169" t="s">
        <v>90</v>
      </c>
      <c r="S169" t="s">
        <v>42</v>
      </c>
      <c r="T169" s="3">
        <v>5538</v>
      </c>
    </row>
    <row r="170" spans="16:20" x14ac:dyDescent="0.2">
      <c r="P170" t="s">
        <v>384</v>
      </c>
      <c r="Q170" t="s">
        <v>45</v>
      </c>
      <c r="R170" t="s">
        <v>116</v>
      </c>
      <c r="S170" t="s">
        <v>17</v>
      </c>
      <c r="T170" s="3">
        <v>1756</v>
      </c>
    </row>
    <row r="171" spans="16:20" x14ac:dyDescent="0.2">
      <c r="P171" t="s">
        <v>386</v>
      </c>
      <c r="Q171" t="s">
        <v>112</v>
      </c>
      <c r="R171" t="s">
        <v>16</v>
      </c>
      <c r="S171" t="s">
        <v>17</v>
      </c>
      <c r="T171" s="3">
        <v>2268</v>
      </c>
    </row>
    <row r="172" spans="16:20" x14ac:dyDescent="0.2">
      <c r="P172" t="s">
        <v>388</v>
      </c>
      <c r="Q172" t="s">
        <v>50</v>
      </c>
      <c r="R172" t="s">
        <v>16</v>
      </c>
      <c r="S172" t="s">
        <v>17</v>
      </c>
      <c r="T172" s="3">
        <v>2379</v>
      </c>
    </row>
    <row r="173" spans="16:20" x14ac:dyDescent="0.2">
      <c r="P173" t="s">
        <v>389</v>
      </c>
      <c r="Q173" t="s">
        <v>33</v>
      </c>
      <c r="R173" t="s">
        <v>159</v>
      </c>
      <c r="S173" t="s">
        <v>42</v>
      </c>
      <c r="T173" s="3">
        <v>5860</v>
      </c>
    </row>
    <row r="174" spans="16:20" x14ac:dyDescent="0.2">
      <c r="P174" t="s">
        <v>390</v>
      </c>
      <c r="Q174" t="s">
        <v>103</v>
      </c>
      <c r="R174" t="s">
        <v>116</v>
      </c>
      <c r="S174" t="s">
        <v>17</v>
      </c>
      <c r="T174" s="3">
        <v>8748</v>
      </c>
    </row>
    <row r="175" spans="16:20" x14ac:dyDescent="0.2">
      <c r="P175" t="s">
        <v>392</v>
      </c>
      <c r="Q175" t="s">
        <v>24</v>
      </c>
      <c r="R175" t="s">
        <v>25</v>
      </c>
      <c r="S175" t="s">
        <v>26</v>
      </c>
      <c r="T175" s="3">
        <v>43950</v>
      </c>
    </row>
    <row r="176" spans="16:20" x14ac:dyDescent="0.2">
      <c r="P176" t="s">
        <v>394</v>
      </c>
      <c r="Q176" t="s">
        <v>75</v>
      </c>
      <c r="R176" t="s">
        <v>59</v>
      </c>
      <c r="S176" t="s">
        <v>26</v>
      </c>
      <c r="T176" s="3">
        <v>5037</v>
      </c>
    </row>
    <row r="177" spans="16:20" x14ac:dyDescent="0.2">
      <c r="P177" t="s">
        <v>395</v>
      </c>
      <c r="Q177" t="s">
        <v>75</v>
      </c>
      <c r="R177" t="s">
        <v>218</v>
      </c>
      <c r="S177" t="s">
        <v>17</v>
      </c>
      <c r="T177" s="3">
        <v>6136</v>
      </c>
    </row>
    <row r="178" spans="16:20" x14ac:dyDescent="0.2">
      <c r="P178" t="s">
        <v>397</v>
      </c>
      <c r="Q178" t="s">
        <v>40</v>
      </c>
      <c r="R178" t="s">
        <v>16</v>
      </c>
      <c r="S178" t="s">
        <v>17</v>
      </c>
      <c r="T178" s="3">
        <v>3234</v>
      </c>
    </row>
    <row r="179" spans="16:20" x14ac:dyDescent="0.2">
      <c r="P179" t="s">
        <v>399</v>
      </c>
      <c r="Q179" t="s">
        <v>75</v>
      </c>
      <c r="R179" t="s">
        <v>86</v>
      </c>
      <c r="S179" t="s">
        <v>17</v>
      </c>
      <c r="T179" s="3">
        <v>3546</v>
      </c>
    </row>
    <row r="180" spans="16:20" x14ac:dyDescent="0.2">
      <c r="P180" t="s">
        <v>401</v>
      </c>
      <c r="Q180" t="s">
        <v>24</v>
      </c>
      <c r="R180" t="s">
        <v>41</v>
      </c>
      <c r="S180" t="s">
        <v>42</v>
      </c>
      <c r="T180" s="3">
        <v>18816</v>
      </c>
    </row>
    <row r="181" spans="16:20" x14ac:dyDescent="0.2">
      <c r="P181" t="s">
        <v>403</v>
      </c>
      <c r="Q181" t="s">
        <v>129</v>
      </c>
      <c r="R181" t="s">
        <v>97</v>
      </c>
      <c r="S181" t="s">
        <v>35</v>
      </c>
      <c r="T181" s="3">
        <v>77340</v>
      </c>
    </row>
    <row r="182" spans="16:20" x14ac:dyDescent="0.2">
      <c r="P182" t="s">
        <v>405</v>
      </c>
      <c r="Q182" t="s">
        <v>170</v>
      </c>
      <c r="R182" t="s">
        <v>79</v>
      </c>
      <c r="S182" t="s">
        <v>26</v>
      </c>
      <c r="T182" s="3">
        <v>12486</v>
      </c>
    </row>
    <row r="183" spans="16:20" x14ac:dyDescent="0.2">
      <c r="P183" t="s">
        <v>407</v>
      </c>
      <c r="Q183" t="s">
        <v>40</v>
      </c>
      <c r="R183" t="s">
        <v>79</v>
      </c>
      <c r="S183" t="s">
        <v>26</v>
      </c>
      <c r="T183" s="3">
        <v>22260</v>
      </c>
    </row>
    <row r="184" spans="16:20" x14ac:dyDescent="0.2">
      <c r="P184" t="s">
        <v>409</v>
      </c>
      <c r="Q184" t="s">
        <v>78</v>
      </c>
      <c r="R184" t="s">
        <v>97</v>
      </c>
      <c r="S184" t="s">
        <v>35</v>
      </c>
      <c r="T184" s="3">
        <v>534835</v>
      </c>
    </row>
    <row r="185" spans="16:20" x14ac:dyDescent="0.2">
      <c r="P185" t="s">
        <v>410</v>
      </c>
      <c r="Q185" t="s">
        <v>133</v>
      </c>
      <c r="R185" t="s">
        <v>46</v>
      </c>
      <c r="S185" t="s">
        <v>42</v>
      </c>
      <c r="T185" s="3">
        <v>11776</v>
      </c>
    </row>
    <row r="186" spans="16:20" x14ac:dyDescent="0.2">
      <c r="P186" t="s">
        <v>412</v>
      </c>
      <c r="Q186" t="s">
        <v>78</v>
      </c>
      <c r="R186" t="s">
        <v>69</v>
      </c>
      <c r="S186" t="s">
        <v>26</v>
      </c>
      <c r="T186" s="3">
        <v>9814</v>
      </c>
    </row>
    <row r="187" spans="16:20" x14ac:dyDescent="0.2">
      <c r="P187" t="s">
        <v>414</v>
      </c>
      <c r="Q187" t="s">
        <v>122</v>
      </c>
      <c r="R187" t="s">
        <v>109</v>
      </c>
      <c r="S187" t="s">
        <v>52</v>
      </c>
      <c r="T187" s="3">
        <v>1886</v>
      </c>
    </row>
    <row r="188" spans="16:20" x14ac:dyDescent="0.2">
      <c r="P188" t="s">
        <v>416</v>
      </c>
      <c r="Q188" t="s">
        <v>68</v>
      </c>
      <c r="R188" t="s">
        <v>97</v>
      </c>
      <c r="S188" t="s">
        <v>35</v>
      </c>
      <c r="T188" s="3">
        <v>197331</v>
      </c>
    </row>
    <row r="189" spans="16:20" x14ac:dyDescent="0.2">
      <c r="P189" t="s">
        <v>417</v>
      </c>
      <c r="Q189" t="s">
        <v>170</v>
      </c>
      <c r="R189" t="s">
        <v>130</v>
      </c>
      <c r="S189" t="s">
        <v>35</v>
      </c>
      <c r="T189" s="3">
        <v>192608</v>
      </c>
    </row>
    <row r="190" spans="16:20" x14ac:dyDescent="0.2">
      <c r="P190" t="s">
        <v>419</v>
      </c>
      <c r="Q190" t="s">
        <v>78</v>
      </c>
      <c r="R190" t="s">
        <v>16</v>
      </c>
      <c r="S190" t="s">
        <v>17</v>
      </c>
      <c r="T190" s="3">
        <v>3372</v>
      </c>
    </row>
    <row r="191" spans="16:20" x14ac:dyDescent="0.2">
      <c r="P191" t="s">
        <v>421</v>
      </c>
      <c r="Q191" t="s">
        <v>15</v>
      </c>
      <c r="R191" t="s">
        <v>159</v>
      </c>
      <c r="S191" t="s">
        <v>42</v>
      </c>
      <c r="T191" s="3">
        <v>16212</v>
      </c>
    </row>
    <row r="192" spans="16:20" x14ac:dyDescent="0.2">
      <c r="P192" t="s">
        <v>423</v>
      </c>
      <c r="Q192" t="s">
        <v>125</v>
      </c>
      <c r="R192" t="s">
        <v>113</v>
      </c>
      <c r="S192" t="s">
        <v>35</v>
      </c>
      <c r="T192" s="3">
        <v>100890</v>
      </c>
    </row>
    <row r="193" spans="16:20" x14ac:dyDescent="0.2">
      <c r="P193" t="s">
        <v>425</v>
      </c>
      <c r="Q193" t="s">
        <v>45</v>
      </c>
      <c r="R193" t="s">
        <v>69</v>
      </c>
      <c r="S193" t="s">
        <v>26</v>
      </c>
      <c r="T193" s="3">
        <v>7252</v>
      </c>
    </row>
    <row r="194" spans="16:20" x14ac:dyDescent="0.2">
      <c r="P194" t="s">
        <v>426</v>
      </c>
      <c r="Q194" t="s">
        <v>58</v>
      </c>
      <c r="R194" t="s">
        <v>113</v>
      </c>
      <c r="S194" t="s">
        <v>35</v>
      </c>
      <c r="T194" s="3">
        <v>257145</v>
      </c>
    </row>
    <row r="195" spans="16:20" x14ac:dyDescent="0.2">
      <c r="P195" t="s">
        <v>428</v>
      </c>
      <c r="Q195" t="s">
        <v>129</v>
      </c>
      <c r="R195" t="s">
        <v>159</v>
      </c>
      <c r="S195" t="s">
        <v>42</v>
      </c>
      <c r="T195" s="3">
        <v>6696</v>
      </c>
    </row>
    <row r="196" spans="16:20" x14ac:dyDescent="0.2">
      <c r="P196" t="s">
        <v>430</v>
      </c>
      <c r="Q196" t="s">
        <v>122</v>
      </c>
      <c r="R196" t="s">
        <v>51</v>
      </c>
      <c r="S196" t="s">
        <v>52</v>
      </c>
      <c r="T196" s="3">
        <v>18112</v>
      </c>
    </row>
    <row r="197" spans="16:20" x14ac:dyDescent="0.2">
      <c r="P197" t="s">
        <v>431</v>
      </c>
      <c r="Q197" t="s">
        <v>78</v>
      </c>
      <c r="R197" t="s">
        <v>109</v>
      </c>
      <c r="S197" t="s">
        <v>52</v>
      </c>
      <c r="T197" s="3">
        <v>18224</v>
      </c>
    </row>
    <row r="198" spans="16:20" x14ac:dyDescent="0.2">
      <c r="P198" t="s">
        <v>433</v>
      </c>
      <c r="Q198" t="s">
        <v>146</v>
      </c>
      <c r="R198" t="s">
        <v>79</v>
      </c>
      <c r="S198" t="s">
        <v>26</v>
      </c>
      <c r="T198" s="3">
        <v>16336</v>
      </c>
    </row>
    <row r="199" spans="16:20" x14ac:dyDescent="0.2">
      <c r="P199" t="s">
        <v>435</v>
      </c>
      <c r="Q199" t="s">
        <v>45</v>
      </c>
      <c r="R199" t="s">
        <v>59</v>
      </c>
      <c r="S199" t="s">
        <v>26</v>
      </c>
      <c r="T199" s="3">
        <v>12404</v>
      </c>
    </row>
    <row r="200" spans="16:20" x14ac:dyDescent="0.2">
      <c r="P200" t="s">
        <v>437</v>
      </c>
      <c r="Q200" t="s">
        <v>72</v>
      </c>
      <c r="R200" t="s">
        <v>130</v>
      </c>
      <c r="S200" t="s">
        <v>35</v>
      </c>
      <c r="T200" s="3">
        <v>101355</v>
      </c>
    </row>
    <row r="201" spans="16:20" x14ac:dyDescent="0.2">
      <c r="P201" t="s">
        <v>438</v>
      </c>
      <c r="Q201" t="s">
        <v>50</v>
      </c>
      <c r="R201" t="s">
        <v>51</v>
      </c>
      <c r="S201" t="s">
        <v>52</v>
      </c>
      <c r="T201" s="3">
        <v>4050</v>
      </c>
    </row>
    <row r="202" spans="16:20" x14ac:dyDescent="0.2">
      <c r="P202" t="s">
        <v>439</v>
      </c>
      <c r="Q202" t="s">
        <v>78</v>
      </c>
      <c r="R202" t="s">
        <v>90</v>
      </c>
      <c r="S202" t="s">
        <v>42</v>
      </c>
      <c r="T202" s="3">
        <v>5900</v>
      </c>
    </row>
    <row r="203" spans="16:20" x14ac:dyDescent="0.2">
      <c r="P203" t="s">
        <v>441</v>
      </c>
      <c r="Q203" t="s">
        <v>170</v>
      </c>
      <c r="R203" t="s">
        <v>51</v>
      </c>
      <c r="S203" t="s">
        <v>52</v>
      </c>
      <c r="T203" s="3">
        <v>9798</v>
      </c>
    </row>
    <row r="204" spans="16:20" x14ac:dyDescent="0.2">
      <c r="P204" t="s">
        <v>442</v>
      </c>
      <c r="Q204" t="s">
        <v>40</v>
      </c>
      <c r="R204" t="s">
        <v>116</v>
      </c>
      <c r="S204" t="s">
        <v>17</v>
      </c>
      <c r="T204" s="3">
        <v>1246</v>
      </c>
    </row>
    <row r="205" spans="16:20" x14ac:dyDescent="0.2">
      <c r="P205" t="s">
        <v>443</v>
      </c>
      <c r="Q205" t="s">
        <v>133</v>
      </c>
      <c r="R205" t="s">
        <v>130</v>
      </c>
      <c r="S205" t="s">
        <v>35</v>
      </c>
      <c r="T205" s="3">
        <v>55722</v>
      </c>
    </row>
    <row r="206" spans="16:20" x14ac:dyDescent="0.2">
      <c r="P206" t="s">
        <v>445</v>
      </c>
      <c r="Q206" t="s">
        <v>68</v>
      </c>
      <c r="R206" t="s">
        <v>86</v>
      </c>
      <c r="S206" t="s">
        <v>17</v>
      </c>
      <c r="T206" s="3">
        <v>1142</v>
      </c>
    </row>
    <row r="207" spans="16:20" x14ac:dyDescent="0.2">
      <c r="P207" t="s">
        <v>447</v>
      </c>
      <c r="Q207" t="s">
        <v>50</v>
      </c>
      <c r="R207" t="s">
        <v>86</v>
      </c>
      <c r="S207" t="s">
        <v>17</v>
      </c>
      <c r="T207" s="3">
        <v>3592</v>
      </c>
    </row>
    <row r="208" spans="16:20" x14ac:dyDescent="0.2">
      <c r="P208" t="s">
        <v>448</v>
      </c>
      <c r="Q208" t="s">
        <v>179</v>
      </c>
      <c r="R208" t="s">
        <v>25</v>
      </c>
      <c r="S208" t="s">
        <v>26</v>
      </c>
      <c r="T208" s="3">
        <v>9840</v>
      </c>
    </row>
    <row r="209" spans="16:20" x14ac:dyDescent="0.2">
      <c r="P209" t="s">
        <v>449</v>
      </c>
      <c r="Q209" t="s">
        <v>15</v>
      </c>
      <c r="R209" t="s">
        <v>116</v>
      </c>
      <c r="S209" t="s">
        <v>17</v>
      </c>
      <c r="T209" s="3">
        <v>6608</v>
      </c>
    </row>
    <row r="210" spans="16:20" x14ac:dyDescent="0.2">
      <c r="P210" t="s">
        <v>451</v>
      </c>
      <c r="Q210" t="s">
        <v>45</v>
      </c>
      <c r="R210" t="s">
        <v>79</v>
      </c>
      <c r="S210" t="s">
        <v>26</v>
      </c>
      <c r="T210" s="3">
        <v>35610</v>
      </c>
    </row>
    <row r="211" spans="16:20" x14ac:dyDescent="0.2">
      <c r="P211" t="s">
        <v>453</v>
      </c>
      <c r="Q211" t="s">
        <v>15</v>
      </c>
      <c r="R211" t="s">
        <v>34</v>
      </c>
      <c r="S211" t="s">
        <v>35</v>
      </c>
      <c r="T211" s="3">
        <v>176015</v>
      </c>
    </row>
    <row r="212" spans="16:20" x14ac:dyDescent="0.2">
      <c r="P212" t="s">
        <v>455</v>
      </c>
      <c r="Q212" t="s">
        <v>103</v>
      </c>
      <c r="R212" t="s">
        <v>116</v>
      </c>
      <c r="S212" t="s">
        <v>17</v>
      </c>
      <c r="T212" s="3">
        <v>7935</v>
      </c>
    </row>
    <row r="213" spans="16:20" x14ac:dyDescent="0.2">
      <c r="P213" t="s">
        <v>457</v>
      </c>
      <c r="Q213" t="s">
        <v>133</v>
      </c>
      <c r="R213" t="s">
        <v>79</v>
      </c>
      <c r="S213" t="s">
        <v>26</v>
      </c>
      <c r="T213" s="3">
        <v>28254</v>
      </c>
    </row>
    <row r="214" spans="16:20" x14ac:dyDescent="0.2">
      <c r="P214" t="s">
        <v>459</v>
      </c>
      <c r="Q214" t="s">
        <v>24</v>
      </c>
      <c r="R214" t="s">
        <v>34</v>
      </c>
      <c r="S214" t="s">
        <v>35</v>
      </c>
      <c r="T214" s="3">
        <v>3987</v>
      </c>
    </row>
    <row r="215" spans="16:20" x14ac:dyDescent="0.2">
      <c r="P215" t="s">
        <v>461</v>
      </c>
      <c r="Q215" t="s">
        <v>146</v>
      </c>
      <c r="R215" t="s">
        <v>16</v>
      </c>
      <c r="S215" t="s">
        <v>17</v>
      </c>
      <c r="T215" s="3">
        <v>5999</v>
      </c>
    </row>
    <row r="216" spans="16:20" x14ac:dyDescent="0.2">
      <c r="P216" t="s">
        <v>463</v>
      </c>
      <c r="Q216" t="s">
        <v>33</v>
      </c>
      <c r="R216" t="s">
        <v>159</v>
      </c>
      <c r="S216" t="s">
        <v>42</v>
      </c>
      <c r="T216" s="3">
        <v>4932</v>
      </c>
    </row>
    <row r="217" spans="16:20" x14ac:dyDescent="0.2">
      <c r="P217" t="s">
        <v>464</v>
      </c>
      <c r="Q217" t="s">
        <v>170</v>
      </c>
      <c r="R217" t="s">
        <v>46</v>
      </c>
      <c r="S217" t="s">
        <v>42</v>
      </c>
      <c r="T217" s="3">
        <v>12405</v>
      </c>
    </row>
    <row r="218" spans="16:20" x14ac:dyDescent="0.2">
      <c r="P218" t="s">
        <v>465</v>
      </c>
      <c r="Q218" t="s">
        <v>170</v>
      </c>
      <c r="R218" t="s">
        <v>16</v>
      </c>
      <c r="S218" t="s">
        <v>17</v>
      </c>
      <c r="T218" s="3">
        <v>5424</v>
      </c>
    </row>
    <row r="219" spans="16:20" x14ac:dyDescent="0.2">
      <c r="P219" t="s">
        <v>466</v>
      </c>
      <c r="Q219" t="s">
        <v>78</v>
      </c>
      <c r="R219" t="s">
        <v>34</v>
      </c>
      <c r="S219" t="s">
        <v>35</v>
      </c>
      <c r="T219" s="3">
        <v>316535</v>
      </c>
    </row>
    <row r="220" spans="16:20" x14ac:dyDescent="0.2">
      <c r="P220" t="s">
        <v>467</v>
      </c>
      <c r="Q220" t="s">
        <v>68</v>
      </c>
      <c r="R220" t="s">
        <v>41</v>
      </c>
      <c r="S220" t="s">
        <v>42</v>
      </c>
      <c r="T220" s="3">
        <v>4266</v>
      </c>
    </row>
    <row r="221" spans="16:20" x14ac:dyDescent="0.2">
      <c r="P221" t="s">
        <v>469</v>
      </c>
      <c r="Q221" t="s">
        <v>146</v>
      </c>
      <c r="R221" t="s">
        <v>41</v>
      </c>
      <c r="S221" t="s">
        <v>42</v>
      </c>
      <c r="T221" s="3">
        <v>24785</v>
      </c>
    </row>
    <row r="222" spans="16:20" x14ac:dyDescent="0.2">
      <c r="P222" t="s">
        <v>471</v>
      </c>
      <c r="Q222" t="s">
        <v>50</v>
      </c>
      <c r="R222" t="s">
        <v>79</v>
      </c>
      <c r="S222" t="s">
        <v>26</v>
      </c>
      <c r="T222" s="3">
        <v>32753</v>
      </c>
    </row>
    <row r="223" spans="16:20" x14ac:dyDescent="0.2">
      <c r="P223" t="s">
        <v>473</v>
      </c>
      <c r="Q223" t="s">
        <v>146</v>
      </c>
      <c r="R223" t="s">
        <v>46</v>
      </c>
      <c r="S223" t="s">
        <v>42</v>
      </c>
      <c r="T223" s="3">
        <v>3184</v>
      </c>
    </row>
    <row r="224" spans="16:20" x14ac:dyDescent="0.2">
      <c r="P224" t="s">
        <v>474</v>
      </c>
      <c r="Q224" t="s">
        <v>45</v>
      </c>
      <c r="R224" t="s">
        <v>59</v>
      </c>
      <c r="S224" t="s">
        <v>26</v>
      </c>
      <c r="T224" s="3">
        <v>18248</v>
      </c>
    </row>
    <row r="225" spans="16:20" x14ac:dyDescent="0.2">
      <c r="P225" t="s">
        <v>476</v>
      </c>
      <c r="Q225" t="s">
        <v>15</v>
      </c>
      <c r="R225" t="s">
        <v>147</v>
      </c>
      <c r="S225" t="s">
        <v>52</v>
      </c>
      <c r="T225" s="3">
        <v>7492</v>
      </c>
    </row>
    <row r="226" spans="16:20" x14ac:dyDescent="0.2">
      <c r="P226" t="s">
        <v>478</v>
      </c>
      <c r="Q226" t="s">
        <v>129</v>
      </c>
      <c r="R226" t="s">
        <v>116</v>
      </c>
      <c r="S226" t="s">
        <v>17</v>
      </c>
      <c r="T226" s="3">
        <v>1644</v>
      </c>
    </row>
    <row r="227" spans="16:20" x14ac:dyDescent="0.2">
      <c r="P227" t="s">
        <v>479</v>
      </c>
      <c r="Q227" t="s">
        <v>33</v>
      </c>
      <c r="R227" t="s">
        <v>16</v>
      </c>
      <c r="S227" t="s">
        <v>17</v>
      </c>
      <c r="T227" s="3">
        <v>6488</v>
      </c>
    </row>
    <row r="228" spans="16:20" x14ac:dyDescent="0.2">
      <c r="P228" t="s">
        <v>481</v>
      </c>
      <c r="Q228" t="s">
        <v>33</v>
      </c>
      <c r="R228" t="s">
        <v>41</v>
      </c>
      <c r="S228" t="s">
        <v>42</v>
      </c>
      <c r="T228" s="3">
        <v>15631</v>
      </c>
    </row>
    <row r="229" spans="16:20" x14ac:dyDescent="0.2">
      <c r="P229" t="s">
        <v>483</v>
      </c>
      <c r="Q229" t="s">
        <v>78</v>
      </c>
      <c r="R229" t="s">
        <v>90</v>
      </c>
      <c r="S229" t="s">
        <v>42</v>
      </c>
      <c r="T229" s="3">
        <v>30696</v>
      </c>
    </row>
    <row r="230" spans="16:20" x14ac:dyDescent="0.2">
      <c r="P230" t="s">
        <v>484</v>
      </c>
      <c r="Q230" t="s">
        <v>103</v>
      </c>
      <c r="R230" t="s">
        <v>90</v>
      </c>
      <c r="S230" t="s">
        <v>42</v>
      </c>
      <c r="T230" s="3">
        <v>5478</v>
      </c>
    </row>
    <row r="231" spans="16:20" x14ac:dyDescent="0.2">
      <c r="P231" t="s">
        <v>486</v>
      </c>
      <c r="Q231" t="s">
        <v>58</v>
      </c>
      <c r="R231" t="s">
        <v>79</v>
      </c>
      <c r="S231" t="s">
        <v>26</v>
      </c>
      <c r="T231" s="3">
        <v>3432</v>
      </c>
    </row>
    <row r="232" spans="16:20" x14ac:dyDescent="0.2">
      <c r="P232" t="s">
        <v>488</v>
      </c>
      <c r="Q232" t="s">
        <v>58</v>
      </c>
      <c r="R232" t="s">
        <v>63</v>
      </c>
      <c r="S232" t="s">
        <v>52</v>
      </c>
      <c r="T232" s="3">
        <v>10314</v>
      </c>
    </row>
    <row r="233" spans="16:20" x14ac:dyDescent="0.2">
      <c r="P233" t="s">
        <v>490</v>
      </c>
      <c r="Q233" t="s">
        <v>170</v>
      </c>
      <c r="R233" t="s">
        <v>51</v>
      </c>
      <c r="S233" t="s">
        <v>52</v>
      </c>
      <c r="T233" s="3">
        <v>2404</v>
      </c>
    </row>
    <row r="234" spans="16:20" x14ac:dyDescent="0.2">
      <c r="P234" t="s">
        <v>492</v>
      </c>
      <c r="Q234" t="s">
        <v>75</v>
      </c>
      <c r="R234" t="s">
        <v>34</v>
      </c>
      <c r="S234" t="s">
        <v>35</v>
      </c>
      <c r="T234" s="3">
        <v>79388</v>
      </c>
    </row>
    <row r="235" spans="16:20" x14ac:dyDescent="0.2">
      <c r="P235" t="s">
        <v>494</v>
      </c>
      <c r="Q235" t="s">
        <v>122</v>
      </c>
      <c r="R235" t="s">
        <v>130</v>
      </c>
      <c r="S235" t="s">
        <v>35</v>
      </c>
      <c r="T235" s="3">
        <v>199074</v>
      </c>
    </row>
    <row r="236" spans="16:20" x14ac:dyDescent="0.2">
      <c r="P236" t="s">
        <v>495</v>
      </c>
      <c r="Q236" t="s">
        <v>45</v>
      </c>
      <c r="R236" t="s">
        <v>130</v>
      </c>
      <c r="S236" t="s">
        <v>35</v>
      </c>
      <c r="T236" s="3">
        <v>232746</v>
      </c>
    </row>
    <row r="237" spans="16:20" x14ac:dyDescent="0.2">
      <c r="P237" t="s">
        <v>496</v>
      </c>
      <c r="Q237" t="s">
        <v>146</v>
      </c>
      <c r="R237" t="s">
        <v>109</v>
      </c>
      <c r="S237" t="s">
        <v>52</v>
      </c>
      <c r="T237" s="3">
        <v>6232</v>
      </c>
    </row>
    <row r="238" spans="16:20" x14ac:dyDescent="0.2">
      <c r="P238" t="s">
        <v>497</v>
      </c>
      <c r="Q238" t="s">
        <v>133</v>
      </c>
      <c r="R238" t="s">
        <v>147</v>
      </c>
      <c r="S238" t="s">
        <v>52</v>
      </c>
      <c r="T238" s="3">
        <v>1275</v>
      </c>
    </row>
    <row r="239" spans="16:20" x14ac:dyDescent="0.2">
      <c r="P239" t="s">
        <v>498</v>
      </c>
      <c r="Q239" t="s">
        <v>40</v>
      </c>
      <c r="R239" t="s">
        <v>69</v>
      </c>
      <c r="S239" t="s">
        <v>26</v>
      </c>
      <c r="T239" s="3">
        <v>16056</v>
      </c>
    </row>
    <row r="240" spans="16:20" x14ac:dyDescent="0.2">
      <c r="P240" t="s">
        <v>499</v>
      </c>
      <c r="Q240" t="s">
        <v>15</v>
      </c>
      <c r="R240" t="s">
        <v>16</v>
      </c>
      <c r="S240" t="s">
        <v>17</v>
      </c>
      <c r="T240" s="3">
        <v>3204</v>
      </c>
    </row>
    <row r="241" spans="16:20" x14ac:dyDescent="0.2">
      <c r="P241" t="s">
        <v>500</v>
      </c>
      <c r="Q241" t="s">
        <v>40</v>
      </c>
      <c r="R241" t="s">
        <v>147</v>
      </c>
      <c r="S241" t="s">
        <v>52</v>
      </c>
      <c r="T241" s="3">
        <v>6168</v>
      </c>
    </row>
    <row r="242" spans="16:20" x14ac:dyDescent="0.2">
      <c r="P242" t="s">
        <v>501</v>
      </c>
      <c r="Q242" t="s">
        <v>179</v>
      </c>
      <c r="R242" t="s">
        <v>90</v>
      </c>
      <c r="S242" t="s">
        <v>42</v>
      </c>
      <c r="T242" s="3">
        <v>1417</v>
      </c>
    </row>
    <row r="243" spans="16:20" x14ac:dyDescent="0.2">
      <c r="P243" t="s">
        <v>502</v>
      </c>
      <c r="Q243" t="s">
        <v>75</v>
      </c>
      <c r="R243" t="s">
        <v>109</v>
      </c>
      <c r="S243" t="s">
        <v>52</v>
      </c>
      <c r="T243" s="3">
        <v>12104</v>
      </c>
    </row>
    <row r="244" spans="16:20" x14ac:dyDescent="0.2">
      <c r="P244" t="s">
        <v>504</v>
      </c>
      <c r="Q244" t="s">
        <v>58</v>
      </c>
      <c r="R244" t="s">
        <v>97</v>
      </c>
      <c r="S244" t="s">
        <v>35</v>
      </c>
      <c r="T244" s="3">
        <v>111030</v>
      </c>
    </row>
    <row r="245" spans="16:20" x14ac:dyDescent="0.2">
      <c r="P245" t="s">
        <v>506</v>
      </c>
      <c r="Q245" t="s">
        <v>78</v>
      </c>
      <c r="R245" t="s">
        <v>218</v>
      </c>
      <c r="S245" t="s">
        <v>17</v>
      </c>
      <c r="T245" s="3">
        <v>10549</v>
      </c>
    </row>
    <row r="246" spans="16:20" x14ac:dyDescent="0.2">
      <c r="P246" t="s">
        <v>508</v>
      </c>
      <c r="Q246" t="s">
        <v>68</v>
      </c>
      <c r="R246" t="s">
        <v>46</v>
      </c>
      <c r="S246" t="s">
        <v>42</v>
      </c>
      <c r="T246" s="3">
        <v>37653</v>
      </c>
    </row>
    <row r="247" spans="16:20" x14ac:dyDescent="0.2">
      <c r="P247" t="s">
        <v>509</v>
      </c>
      <c r="Q247" t="s">
        <v>170</v>
      </c>
      <c r="R247" t="s">
        <v>63</v>
      </c>
      <c r="S247" t="s">
        <v>52</v>
      </c>
      <c r="T247" s="3">
        <v>570</v>
      </c>
    </row>
    <row r="248" spans="16:20" x14ac:dyDescent="0.2">
      <c r="P248" t="s">
        <v>511</v>
      </c>
      <c r="Q248" t="s">
        <v>68</v>
      </c>
      <c r="R248" t="s">
        <v>90</v>
      </c>
      <c r="S248" t="s">
        <v>42</v>
      </c>
      <c r="T248" s="3">
        <v>4806</v>
      </c>
    </row>
    <row r="249" spans="16:20" x14ac:dyDescent="0.2">
      <c r="P249" t="s">
        <v>512</v>
      </c>
      <c r="Q249" t="s">
        <v>58</v>
      </c>
      <c r="R249" t="s">
        <v>25</v>
      </c>
      <c r="S249" t="s">
        <v>26</v>
      </c>
      <c r="T249" s="3">
        <v>10254</v>
      </c>
    </row>
    <row r="250" spans="16:20" x14ac:dyDescent="0.2">
      <c r="P250" t="s">
        <v>513</v>
      </c>
      <c r="Q250" t="s">
        <v>125</v>
      </c>
      <c r="R250" t="s">
        <v>109</v>
      </c>
      <c r="S250" t="s">
        <v>52</v>
      </c>
      <c r="T250" s="3">
        <v>5685</v>
      </c>
    </row>
    <row r="251" spans="16:20" x14ac:dyDescent="0.2">
      <c r="P251" t="s">
        <v>515</v>
      </c>
      <c r="Q251" t="s">
        <v>170</v>
      </c>
      <c r="R251" t="s">
        <v>130</v>
      </c>
      <c r="S251" t="s">
        <v>35</v>
      </c>
      <c r="T251" s="3">
        <v>161890</v>
      </c>
    </row>
    <row r="252" spans="16:20" x14ac:dyDescent="0.2">
      <c r="P252" t="s">
        <v>517</v>
      </c>
      <c r="Q252" t="s">
        <v>40</v>
      </c>
      <c r="R252" t="s">
        <v>51</v>
      </c>
      <c r="S252" t="s">
        <v>52</v>
      </c>
      <c r="T252" s="3">
        <v>16555</v>
      </c>
    </row>
    <row r="253" spans="16:20" x14ac:dyDescent="0.2">
      <c r="P253" t="s">
        <v>518</v>
      </c>
      <c r="Q253" t="s">
        <v>179</v>
      </c>
      <c r="R253" t="s">
        <v>25</v>
      </c>
      <c r="S253" t="s">
        <v>26</v>
      </c>
      <c r="T253" s="3">
        <v>33112</v>
      </c>
    </row>
    <row r="254" spans="16:20" x14ac:dyDescent="0.2">
      <c r="P254" t="s">
        <v>520</v>
      </c>
      <c r="Q254" t="s">
        <v>125</v>
      </c>
      <c r="R254" t="s">
        <v>69</v>
      </c>
      <c r="S254" t="s">
        <v>26</v>
      </c>
      <c r="T254" s="3">
        <v>17616</v>
      </c>
    </row>
    <row r="255" spans="16:20" x14ac:dyDescent="0.2">
      <c r="P255" t="s">
        <v>522</v>
      </c>
      <c r="Q255" t="s">
        <v>122</v>
      </c>
      <c r="R255" t="s">
        <v>109</v>
      </c>
      <c r="S255" t="s">
        <v>52</v>
      </c>
      <c r="T255" s="3">
        <v>724</v>
      </c>
    </row>
    <row r="256" spans="16:20" x14ac:dyDescent="0.2">
      <c r="P256" t="s">
        <v>524</v>
      </c>
      <c r="Q256" t="s">
        <v>122</v>
      </c>
      <c r="R256" t="s">
        <v>97</v>
      </c>
      <c r="S256" t="s">
        <v>35</v>
      </c>
      <c r="T256" s="3">
        <v>64640</v>
      </c>
    </row>
    <row r="257" spans="16:20" x14ac:dyDescent="0.2">
      <c r="P257" t="s">
        <v>526</v>
      </c>
      <c r="Q257" t="s">
        <v>58</v>
      </c>
      <c r="R257" t="s">
        <v>90</v>
      </c>
      <c r="S257" t="s">
        <v>42</v>
      </c>
      <c r="T257" s="3">
        <v>25400</v>
      </c>
    </row>
    <row r="258" spans="16:20" x14ac:dyDescent="0.2">
      <c r="P258" t="s">
        <v>528</v>
      </c>
      <c r="Q258" t="s">
        <v>103</v>
      </c>
      <c r="R258" t="s">
        <v>59</v>
      </c>
      <c r="S258" t="s">
        <v>26</v>
      </c>
      <c r="T258" s="3">
        <v>22590</v>
      </c>
    </row>
    <row r="259" spans="16:20" x14ac:dyDescent="0.2">
      <c r="P259" t="s">
        <v>529</v>
      </c>
      <c r="Q259" t="s">
        <v>103</v>
      </c>
      <c r="R259" t="s">
        <v>63</v>
      </c>
      <c r="S259" t="s">
        <v>52</v>
      </c>
      <c r="T259" s="3">
        <v>10913</v>
      </c>
    </row>
    <row r="260" spans="16:20" x14ac:dyDescent="0.2">
      <c r="P260" t="s">
        <v>531</v>
      </c>
      <c r="Q260" t="s">
        <v>78</v>
      </c>
      <c r="R260" t="s">
        <v>86</v>
      </c>
      <c r="S260" t="s">
        <v>17</v>
      </c>
      <c r="T260" s="3">
        <v>6820</v>
      </c>
    </row>
    <row r="261" spans="16:20" x14ac:dyDescent="0.2">
      <c r="P261" t="s">
        <v>532</v>
      </c>
      <c r="Q261" t="s">
        <v>133</v>
      </c>
      <c r="R261" t="s">
        <v>159</v>
      </c>
      <c r="S261" t="s">
        <v>42</v>
      </c>
      <c r="T261" s="3">
        <v>7560</v>
      </c>
    </row>
    <row r="262" spans="16:20" x14ac:dyDescent="0.2">
      <c r="P262" t="s">
        <v>534</v>
      </c>
      <c r="Q262" t="s">
        <v>112</v>
      </c>
      <c r="R262" t="s">
        <v>59</v>
      </c>
      <c r="S262" t="s">
        <v>26</v>
      </c>
      <c r="T262" s="3">
        <v>21936</v>
      </c>
    </row>
    <row r="263" spans="16:20" x14ac:dyDescent="0.2">
      <c r="P263" t="s">
        <v>535</v>
      </c>
      <c r="Q263" t="s">
        <v>75</v>
      </c>
      <c r="R263" t="s">
        <v>41</v>
      </c>
      <c r="S263" t="s">
        <v>42</v>
      </c>
      <c r="T263" s="3">
        <v>16092</v>
      </c>
    </row>
    <row r="264" spans="16:20" x14ac:dyDescent="0.2">
      <c r="P264" t="s">
        <v>537</v>
      </c>
      <c r="Q264" t="s">
        <v>72</v>
      </c>
      <c r="R264" t="s">
        <v>113</v>
      </c>
      <c r="S264" t="s">
        <v>35</v>
      </c>
      <c r="T264" s="3">
        <v>196792</v>
      </c>
    </row>
    <row r="265" spans="16:20" x14ac:dyDescent="0.2">
      <c r="P265" t="s">
        <v>539</v>
      </c>
      <c r="Q265" t="s">
        <v>112</v>
      </c>
      <c r="R265" t="s">
        <v>90</v>
      </c>
      <c r="S265" t="s">
        <v>42</v>
      </c>
      <c r="T265" s="3">
        <v>16331</v>
      </c>
    </row>
    <row r="266" spans="16:20" x14ac:dyDescent="0.2">
      <c r="P266" t="s">
        <v>540</v>
      </c>
      <c r="Q266" t="s">
        <v>75</v>
      </c>
      <c r="R266" t="s">
        <v>63</v>
      </c>
      <c r="S266" t="s">
        <v>52</v>
      </c>
      <c r="T266" s="3">
        <v>4668</v>
      </c>
    </row>
    <row r="267" spans="16:20" x14ac:dyDescent="0.2">
      <c r="P267" t="s">
        <v>541</v>
      </c>
      <c r="Q267" t="s">
        <v>15</v>
      </c>
      <c r="R267" t="s">
        <v>46</v>
      </c>
      <c r="S267" t="s">
        <v>42</v>
      </c>
      <c r="T267" s="3">
        <v>6729</v>
      </c>
    </row>
    <row r="268" spans="16:20" x14ac:dyDescent="0.2">
      <c r="P268" t="s">
        <v>542</v>
      </c>
      <c r="Q268" t="s">
        <v>45</v>
      </c>
      <c r="R268" t="s">
        <v>147</v>
      </c>
      <c r="S268" t="s">
        <v>52</v>
      </c>
      <c r="T268" s="3">
        <v>5253</v>
      </c>
    </row>
    <row r="269" spans="16:20" x14ac:dyDescent="0.2">
      <c r="P269" t="s">
        <v>544</v>
      </c>
      <c r="Q269" t="s">
        <v>15</v>
      </c>
      <c r="R269" t="s">
        <v>16</v>
      </c>
      <c r="S269" t="s">
        <v>17</v>
      </c>
      <c r="T269" s="3">
        <v>8624</v>
      </c>
    </row>
    <row r="270" spans="16:20" x14ac:dyDescent="0.2">
      <c r="P270" t="s">
        <v>546</v>
      </c>
      <c r="Q270" t="s">
        <v>125</v>
      </c>
      <c r="R270" t="s">
        <v>59</v>
      </c>
      <c r="S270" t="s">
        <v>26</v>
      </c>
      <c r="T270" s="3">
        <v>8184</v>
      </c>
    </row>
    <row r="271" spans="16:20" x14ac:dyDescent="0.2">
      <c r="P271" t="s">
        <v>548</v>
      </c>
      <c r="Q271" t="s">
        <v>170</v>
      </c>
      <c r="R271" t="s">
        <v>79</v>
      </c>
      <c r="S271" t="s">
        <v>26</v>
      </c>
      <c r="T271" s="3">
        <v>62524</v>
      </c>
    </row>
    <row r="272" spans="16:20" x14ac:dyDescent="0.2">
      <c r="P272" t="s">
        <v>550</v>
      </c>
      <c r="Q272" t="s">
        <v>146</v>
      </c>
      <c r="R272" t="s">
        <v>16</v>
      </c>
      <c r="S272" t="s">
        <v>17</v>
      </c>
      <c r="T272" s="3">
        <v>4840</v>
      </c>
    </row>
    <row r="273" spans="16:20" x14ac:dyDescent="0.2">
      <c r="P273" t="s">
        <v>551</v>
      </c>
      <c r="Q273" t="s">
        <v>15</v>
      </c>
      <c r="R273" t="s">
        <v>16</v>
      </c>
      <c r="S273" t="s">
        <v>17</v>
      </c>
      <c r="T273" s="3">
        <v>895</v>
      </c>
    </row>
    <row r="274" spans="16:20" x14ac:dyDescent="0.2">
      <c r="P274" t="s">
        <v>552</v>
      </c>
      <c r="Q274" t="s">
        <v>103</v>
      </c>
      <c r="R274" t="s">
        <v>97</v>
      </c>
      <c r="S274" t="s">
        <v>35</v>
      </c>
      <c r="T274" s="3">
        <v>237105</v>
      </c>
    </row>
    <row r="275" spans="16:20" x14ac:dyDescent="0.2">
      <c r="P275" t="s">
        <v>553</v>
      </c>
      <c r="Q275" t="s">
        <v>24</v>
      </c>
      <c r="R275" t="s">
        <v>147</v>
      </c>
      <c r="S275" t="s">
        <v>52</v>
      </c>
      <c r="T275" s="3">
        <v>674</v>
      </c>
    </row>
    <row r="276" spans="16:20" x14ac:dyDescent="0.2">
      <c r="P276" t="s">
        <v>554</v>
      </c>
      <c r="Q276" t="s">
        <v>170</v>
      </c>
      <c r="R276" t="s">
        <v>25</v>
      </c>
      <c r="S276" t="s">
        <v>26</v>
      </c>
      <c r="T276" s="3">
        <v>24060</v>
      </c>
    </row>
    <row r="277" spans="16:20" x14ac:dyDescent="0.2">
      <c r="P277" t="s">
        <v>556</v>
      </c>
      <c r="Q277" t="s">
        <v>15</v>
      </c>
      <c r="R277" t="s">
        <v>25</v>
      </c>
      <c r="S277" t="s">
        <v>26</v>
      </c>
      <c r="T277" s="3">
        <v>39788</v>
      </c>
    </row>
    <row r="278" spans="16:20" x14ac:dyDescent="0.2">
      <c r="P278" t="s">
        <v>558</v>
      </c>
      <c r="Q278" t="s">
        <v>50</v>
      </c>
      <c r="R278" t="s">
        <v>159</v>
      </c>
      <c r="S278" t="s">
        <v>42</v>
      </c>
      <c r="T278" s="3">
        <v>23824</v>
      </c>
    </row>
    <row r="279" spans="16:20" x14ac:dyDescent="0.2">
      <c r="P279" t="s">
        <v>560</v>
      </c>
      <c r="Q279" t="s">
        <v>133</v>
      </c>
      <c r="R279" t="s">
        <v>90</v>
      </c>
      <c r="S279" t="s">
        <v>42</v>
      </c>
      <c r="T279" s="3">
        <v>38192</v>
      </c>
    </row>
    <row r="280" spans="16:20" x14ac:dyDescent="0.2">
      <c r="P280" t="s">
        <v>562</v>
      </c>
      <c r="Q280" t="s">
        <v>170</v>
      </c>
      <c r="R280" t="s">
        <v>59</v>
      </c>
      <c r="S280" t="s">
        <v>26</v>
      </c>
      <c r="T280" s="3">
        <v>6756</v>
      </c>
    </row>
    <row r="281" spans="16:20" x14ac:dyDescent="0.2">
      <c r="P281" t="s">
        <v>563</v>
      </c>
      <c r="Q281" t="s">
        <v>68</v>
      </c>
      <c r="R281" t="s">
        <v>41</v>
      </c>
      <c r="S281" t="s">
        <v>42</v>
      </c>
      <c r="T281" s="3">
        <v>23560</v>
      </c>
    </row>
    <row r="282" spans="16:20" x14ac:dyDescent="0.2">
      <c r="P282" t="s">
        <v>565</v>
      </c>
      <c r="Q282" t="s">
        <v>170</v>
      </c>
      <c r="R282" t="s">
        <v>51</v>
      </c>
      <c r="S282" t="s">
        <v>52</v>
      </c>
      <c r="T282" s="3">
        <v>5260</v>
      </c>
    </row>
    <row r="283" spans="16:20" x14ac:dyDescent="0.2">
      <c r="P283" t="s">
        <v>566</v>
      </c>
      <c r="Q283" t="s">
        <v>78</v>
      </c>
      <c r="R283" t="s">
        <v>25</v>
      </c>
      <c r="S283" t="s">
        <v>26</v>
      </c>
      <c r="T283" s="3">
        <v>6968</v>
      </c>
    </row>
    <row r="284" spans="16:20" x14ac:dyDescent="0.2">
      <c r="P284" t="s">
        <v>567</v>
      </c>
      <c r="Q284" t="s">
        <v>103</v>
      </c>
      <c r="R284" t="s">
        <v>79</v>
      </c>
      <c r="S284" t="s">
        <v>26</v>
      </c>
      <c r="T284" s="3">
        <v>15318</v>
      </c>
    </row>
    <row r="285" spans="16:20" x14ac:dyDescent="0.2">
      <c r="P285" t="s">
        <v>568</v>
      </c>
      <c r="Q285" t="s">
        <v>179</v>
      </c>
      <c r="R285" t="s">
        <v>159</v>
      </c>
      <c r="S285" t="s">
        <v>42</v>
      </c>
      <c r="T285" s="3">
        <v>36309</v>
      </c>
    </row>
    <row r="286" spans="16:20" x14ac:dyDescent="0.2">
      <c r="P286" t="s">
        <v>569</v>
      </c>
      <c r="Q286" t="s">
        <v>78</v>
      </c>
      <c r="R286" t="s">
        <v>63</v>
      </c>
      <c r="S286" t="s">
        <v>52</v>
      </c>
      <c r="T286" s="3">
        <v>4332</v>
      </c>
    </row>
    <row r="287" spans="16:20" x14ac:dyDescent="0.2">
      <c r="P287" t="s">
        <v>571</v>
      </c>
      <c r="Q287" t="s">
        <v>40</v>
      </c>
      <c r="R287" t="s">
        <v>25</v>
      </c>
      <c r="S287" t="s">
        <v>26</v>
      </c>
      <c r="T287" s="3">
        <v>36218</v>
      </c>
    </row>
    <row r="288" spans="16:20" x14ac:dyDescent="0.2">
      <c r="P288" t="s">
        <v>572</v>
      </c>
      <c r="Q288" t="s">
        <v>78</v>
      </c>
      <c r="R288" t="s">
        <v>218</v>
      </c>
      <c r="S288" t="s">
        <v>17</v>
      </c>
      <c r="T288" s="3">
        <v>1034</v>
      </c>
    </row>
    <row r="289" spans="16:20" x14ac:dyDescent="0.2">
      <c r="P289" t="s">
        <v>574</v>
      </c>
      <c r="Q289" t="s">
        <v>45</v>
      </c>
      <c r="R289" t="s">
        <v>116</v>
      </c>
      <c r="S289" t="s">
        <v>17</v>
      </c>
      <c r="T289" s="3">
        <v>11921</v>
      </c>
    </row>
    <row r="290" spans="16:20" x14ac:dyDescent="0.2">
      <c r="P290" t="s">
        <v>575</v>
      </c>
      <c r="Q290" t="s">
        <v>50</v>
      </c>
      <c r="R290" t="s">
        <v>79</v>
      </c>
      <c r="S290" t="s">
        <v>26</v>
      </c>
      <c r="T290" s="3">
        <v>18235</v>
      </c>
    </row>
    <row r="291" spans="16:20" x14ac:dyDescent="0.2">
      <c r="P291" t="s">
        <v>577</v>
      </c>
      <c r="Q291" t="s">
        <v>33</v>
      </c>
      <c r="R291" t="s">
        <v>59</v>
      </c>
      <c r="S291" t="s">
        <v>26</v>
      </c>
      <c r="T291" s="3">
        <v>25320</v>
      </c>
    </row>
    <row r="292" spans="16:20" x14ac:dyDescent="0.2">
      <c r="P292" t="s">
        <v>578</v>
      </c>
      <c r="Q292" t="s">
        <v>133</v>
      </c>
      <c r="R292" t="s">
        <v>59</v>
      </c>
      <c r="S292" t="s">
        <v>26</v>
      </c>
      <c r="T292" s="3">
        <v>22872</v>
      </c>
    </row>
    <row r="293" spans="16:20" x14ac:dyDescent="0.2">
      <c r="P293" t="s">
        <v>580</v>
      </c>
      <c r="Q293" t="s">
        <v>68</v>
      </c>
      <c r="R293" t="s">
        <v>34</v>
      </c>
      <c r="S293" t="s">
        <v>35</v>
      </c>
      <c r="T293" s="3">
        <v>245874</v>
      </c>
    </row>
    <row r="294" spans="16:20" x14ac:dyDescent="0.2">
      <c r="P294" t="s">
        <v>582</v>
      </c>
      <c r="Q294" t="s">
        <v>112</v>
      </c>
      <c r="R294" t="s">
        <v>63</v>
      </c>
      <c r="S294" t="s">
        <v>52</v>
      </c>
      <c r="T294" s="3">
        <v>4284</v>
      </c>
    </row>
    <row r="295" spans="16:20" x14ac:dyDescent="0.2">
      <c r="P295" t="s">
        <v>584</v>
      </c>
      <c r="Q295" t="s">
        <v>75</v>
      </c>
      <c r="R295" t="s">
        <v>218</v>
      </c>
      <c r="S295" t="s">
        <v>17</v>
      </c>
      <c r="T295" s="3">
        <v>3824</v>
      </c>
    </row>
    <row r="296" spans="16:20" x14ac:dyDescent="0.2">
      <c r="P296" t="s">
        <v>586</v>
      </c>
      <c r="Q296" t="s">
        <v>75</v>
      </c>
      <c r="R296" t="s">
        <v>86</v>
      </c>
      <c r="S296" t="s">
        <v>17</v>
      </c>
      <c r="T296" s="3">
        <v>11368</v>
      </c>
    </row>
    <row r="297" spans="16:20" x14ac:dyDescent="0.2">
      <c r="P297" t="s">
        <v>588</v>
      </c>
      <c r="Q297" t="s">
        <v>15</v>
      </c>
      <c r="R297" t="s">
        <v>165</v>
      </c>
      <c r="S297" t="s">
        <v>35</v>
      </c>
      <c r="T297" s="3">
        <v>213440</v>
      </c>
    </row>
    <row r="298" spans="16:20" x14ac:dyDescent="0.2">
      <c r="P298" t="s">
        <v>590</v>
      </c>
      <c r="Q298" t="s">
        <v>45</v>
      </c>
      <c r="R298" t="s">
        <v>25</v>
      </c>
      <c r="S298" t="s">
        <v>26</v>
      </c>
      <c r="T298" s="3">
        <v>2538</v>
      </c>
    </row>
    <row r="299" spans="16:20" x14ac:dyDescent="0.2">
      <c r="P299" t="s">
        <v>591</v>
      </c>
      <c r="Q299" t="s">
        <v>72</v>
      </c>
      <c r="R299" t="s">
        <v>90</v>
      </c>
      <c r="S299" t="s">
        <v>42</v>
      </c>
      <c r="T299" s="3">
        <v>2501</v>
      </c>
    </row>
    <row r="300" spans="16:20" x14ac:dyDescent="0.2">
      <c r="P300" t="s">
        <v>592</v>
      </c>
      <c r="Q300" t="s">
        <v>179</v>
      </c>
      <c r="R300" t="s">
        <v>79</v>
      </c>
      <c r="S300" t="s">
        <v>26</v>
      </c>
      <c r="T300" s="3">
        <v>2194</v>
      </c>
    </row>
    <row r="301" spans="16:20" x14ac:dyDescent="0.2">
      <c r="P301" t="s">
        <v>594</v>
      </c>
      <c r="Q301" t="s">
        <v>78</v>
      </c>
      <c r="R301" t="s">
        <v>63</v>
      </c>
      <c r="S301" t="s">
        <v>52</v>
      </c>
      <c r="T301" s="3">
        <v>3595</v>
      </c>
    </row>
    <row r="302" spans="16:20" x14ac:dyDescent="0.2">
      <c r="P302" t="s">
        <v>596</v>
      </c>
      <c r="Q302" t="s">
        <v>179</v>
      </c>
      <c r="R302" t="s">
        <v>113</v>
      </c>
      <c r="S302" t="s">
        <v>35</v>
      </c>
      <c r="T302" s="3">
        <v>154440</v>
      </c>
    </row>
    <row r="303" spans="16:20" x14ac:dyDescent="0.2">
      <c r="P303" t="s">
        <v>598</v>
      </c>
      <c r="Q303" t="s">
        <v>24</v>
      </c>
      <c r="R303" t="s">
        <v>165</v>
      </c>
      <c r="S303" t="s">
        <v>35</v>
      </c>
      <c r="T303" s="3">
        <v>383140</v>
      </c>
    </row>
    <row r="304" spans="16:20" x14ac:dyDescent="0.2">
      <c r="P304" t="s">
        <v>600</v>
      </c>
      <c r="Q304" t="s">
        <v>125</v>
      </c>
      <c r="R304" t="s">
        <v>51</v>
      </c>
      <c r="S304" t="s">
        <v>52</v>
      </c>
      <c r="T304" s="3">
        <v>9648</v>
      </c>
    </row>
    <row r="305" spans="16:20" x14ac:dyDescent="0.2">
      <c r="P305" t="s">
        <v>601</v>
      </c>
      <c r="Q305" t="s">
        <v>112</v>
      </c>
      <c r="R305" t="s">
        <v>25</v>
      </c>
      <c r="S305" t="s">
        <v>26</v>
      </c>
      <c r="T305" s="3">
        <v>6156</v>
      </c>
    </row>
    <row r="306" spans="16:20" x14ac:dyDescent="0.2">
      <c r="P306" t="s">
        <v>602</v>
      </c>
      <c r="Q306" t="s">
        <v>72</v>
      </c>
      <c r="R306" t="s">
        <v>79</v>
      </c>
      <c r="S306" t="s">
        <v>26</v>
      </c>
      <c r="T306" s="3">
        <v>33965</v>
      </c>
    </row>
    <row r="307" spans="16:20" x14ac:dyDescent="0.2">
      <c r="P307" t="s">
        <v>604</v>
      </c>
      <c r="Q307" t="s">
        <v>125</v>
      </c>
      <c r="R307" t="s">
        <v>165</v>
      </c>
      <c r="S307" t="s">
        <v>35</v>
      </c>
      <c r="T307" s="3">
        <v>279552</v>
      </c>
    </row>
    <row r="308" spans="16:20" x14ac:dyDescent="0.2">
      <c r="P308" t="s">
        <v>606</v>
      </c>
      <c r="Q308" t="s">
        <v>50</v>
      </c>
      <c r="R308" t="s">
        <v>159</v>
      </c>
      <c r="S308" t="s">
        <v>42</v>
      </c>
      <c r="T308" s="3">
        <v>11965</v>
      </c>
    </row>
    <row r="309" spans="16:20" x14ac:dyDescent="0.2">
      <c r="P309" t="s">
        <v>607</v>
      </c>
      <c r="Q309" t="s">
        <v>58</v>
      </c>
      <c r="R309" t="s">
        <v>218</v>
      </c>
      <c r="S309" t="s">
        <v>17</v>
      </c>
      <c r="T309" s="3">
        <v>4195</v>
      </c>
    </row>
    <row r="310" spans="16:20" x14ac:dyDescent="0.2">
      <c r="P310" t="s">
        <v>608</v>
      </c>
      <c r="Q310" t="s">
        <v>146</v>
      </c>
      <c r="R310" t="s">
        <v>159</v>
      </c>
      <c r="S310" t="s">
        <v>42</v>
      </c>
      <c r="T310" s="3">
        <v>32543</v>
      </c>
    </row>
    <row r="311" spans="16:20" x14ac:dyDescent="0.2">
      <c r="P311" t="s">
        <v>609</v>
      </c>
      <c r="Q311" t="s">
        <v>170</v>
      </c>
      <c r="R311" t="s">
        <v>59</v>
      </c>
      <c r="S311" t="s">
        <v>26</v>
      </c>
      <c r="T311" s="3">
        <v>8214</v>
      </c>
    </row>
    <row r="312" spans="16:20" x14ac:dyDescent="0.2">
      <c r="P312" t="s">
        <v>610</v>
      </c>
      <c r="Q312" t="s">
        <v>72</v>
      </c>
      <c r="R312" t="s">
        <v>90</v>
      </c>
      <c r="S312" t="s">
        <v>42</v>
      </c>
      <c r="T312" s="3">
        <v>8088</v>
      </c>
    </row>
    <row r="313" spans="16:20" x14ac:dyDescent="0.2">
      <c r="P313" t="s">
        <v>612</v>
      </c>
      <c r="Q313" t="s">
        <v>75</v>
      </c>
      <c r="R313" t="s">
        <v>86</v>
      </c>
      <c r="S313" t="s">
        <v>17</v>
      </c>
      <c r="T313" s="3">
        <v>4074</v>
      </c>
    </row>
    <row r="314" spans="16:20" x14ac:dyDescent="0.2">
      <c r="P314" t="s">
        <v>613</v>
      </c>
      <c r="Q314" t="s">
        <v>24</v>
      </c>
      <c r="R314" t="s">
        <v>159</v>
      </c>
      <c r="S314" t="s">
        <v>42</v>
      </c>
      <c r="T314" s="3">
        <v>15323</v>
      </c>
    </row>
    <row r="315" spans="16:20" x14ac:dyDescent="0.2">
      <c r="P315" t="s">
        <v>614</v>
      </c>
      <c r="Q315" t="s">
        <v>72</v>
      </c>
      <c r="R315" t="s">
        <v>25</v>
      </c>
      <c r="S315" t="s">
        <v>26</v>
      </c>
      <c r="T315" s="3">
        <v>28805</v>
      </c>
    </row>
    <row r="316" spans="16:20" x14ac:dyDescent="0.2">
      <c r="P316" t="s">
        <v>616</v>
      </c>
      <c r="Q316" t="s">
        <v>112</v>
      </c>
      <c r="R316" t="s">
        <v>41</v>
      </c>
      <c r="S316" t="s">
        <v>42</v>
      </c>
      <c r="T316" s="3">
        <v>11286</v>
      </c>
    </row>
    <row r="317" spans="16:20" x14ac:dyDescent="0.2">
      <c r="P317" t="s">
        <v>617</v>
      </c>
      <c r="Q317" t="s">
        <v>125</v>
      </c>
      <c r="R317" t="s">
        <v>69</v>
      </c>
      <c r="S317" t="s">
        <v>26</v>
      </c>
      <c r="T317" s="3">
        <v>19200</v>
      </c>
    </row>
    <row r="318" spans="16:20" x14ac:dyDescent="0.2">
      <c r="P318" t="s">
        <v>618</v>
      </c>
      <c r="Q318" t="s">
        <v>179</v>
      </c>
      <c r="R318" t="s">
        <v>69</v>
      </c>
      <c r="S318" t="s">
        <v>26</v>
      </c>
      <c r="T318" s="3">
        <v>10920</v>
      </c>
    </row>
    <row r="319" spans="16:20" x14ac:dyDescent="0.2">
      <c r="P319" t="s">
        <v>620</v>
      </c>
      <c r="Q319" t="s">
        <v>50</v>
      </c>
      <c r="R319" t="s">
        <v>113</v>
      </c>
      <c r="S319" t="s">
        <v>35</v>
      </c>
      <c r="T319" s="3">
        <v>257243</v>
      </c>
    </row>
    <row r="320" spans="16:20" x14ac:dyDescent="0.2">
      <c r="P320" t="s">
        <v>621</v>
      </c>
      <c r="Q320" t="s">
        <v>122</v>
      </c>
      <c r="R320" t="s">
        <v>109</v>
      </c>
      <c r="S320" t="s">
        <v>52</v>
      </c>
      <c r="T320" s="3">
        <v>12048</v>
      </c>
    </row>
    <row r="321" spans="16:20" x14ac:dyDescent="0.2">
      <c r="P321" t="s">
        <v>623</v>
      </c>
      <c r="Q321" t="s">
        <v>75</v>
      </c>
      <c r="R321" t="s">
        <v>51</v>
      </c>
      <c r="S321" t="s">
        <v>52</v>
      </c>
      <c r="T321" s="3">
        <v>1843</v>
      </c>
    </row>
    <row r="322" spans="16:20" x14ac:dyDescent="0.2">
      <c r="P322" t="s">
        <v>625</v>
      </c>
      <c r="Q322" t="s">
        <v>24</v>
      </c>
      <c r="R322" t="s">
        <v>113</v>
      </c>
      <c r="S322" t="s">
        <v>35</v>
      </c>
      <c r="T322" s="3">
        <v>55013</v>
      </c>
    </row>
    <row r="323" spans="16:20" x14ac:dyDescent="0.2">
      <c r="P323" t="s">
        <v>627</v>
      </c>
      <c r="Q323" t="s">
        <v>33</v>
      </c>
      <c r="R323" t="s">
        <v>86</v>
      </c>
      <c r="S323" t="s">
        <v>17</v>
      </c>
      <c r="T323" s="3">
        <v>3490</v>
      </c>
    </row>
    <row r="324" spans="16:20" x14ac:dyDescent="0.2">
      <c r="P324" t="s">
        <v>628</v>
      </c>
      <c r="Q324" t="s">
        <v>75</v>
      </c>
      <c r="R324" t="s">
        <v>147</v>
      </c>
      <c r="S324" t="s">
        <v>52</v>
      </c>
      <c r="T324" s="3">
        <v>13076</v>
      </c>
    </row>
    <row r="325" spans="16:20" x14ac:dyDescent="0.2">
      <c r="P325" t="s">
        <v>629</v>
      </c>
      <c r="Q325" t="s">
        <v>78</v>
      </c>
      <c r="R325" t="s">
        <v>130</v>
      </c>
      <c r="S325" t="s">
        <v>35</v>
      </c>
      <c r="T325" s="3">
        <v>311416</v>
      </c>
    </row>
    <row r="326" spans="16:20" x14ac:dyDescent="0.2">
      <c r="P326" t="s">
        <v>631</v>
      </c>
      <c r="Q326" t="s">
        <v>146</v>
      </c>
      <c r="R326" t="s">
        <v>218</v>
      </c>
      <c r="S326" t="s">
        <v>17</v>
      </c>
      <c r="T326" s="3">
        <v>8605</v>
      </c>
    </row>
    <row r="327" spans="16:20" x14ac:dyDescent="0.2">
      <c r="P327" t="s">
        <v>632</v>
      </c>
      <c r="Q327" t="s">
        <v>103</v>
      </c>
      <c r="R327" t="s">
        <v>41</v>
      </c>
      <c r="S327" t="s">
        <v>42</v>
      </c>
      <c r="T327" s="3">
        <v>6572</v>
      </c>
    </row>
    <row r="328" spans="16:20" x14ac:dyDescent="0.2">
      <c r="P328" t="s">
        <v>633</v>
      </c>
      <c r="Q328" t="s">
        <v>125</v>
      </c>
      <c r="R328" t="s">
        <v>46</v>
      </c>
      <c r="S328" t="s">
        <v>42</v>
      </c>
      <c r="T328" s="3">
        <v>7470</v>
      </c>
    </row>
    <row r="329" spans="16:20" x14ac:dyDescent="0.2">
      <c r="P329" t="s">
        <v>634</v>
      </c>
      <c r="Q329" t="s">
        <v>75</v>
      </c>
      <c r="R329" t="s">
        <v>109</v>
      </c>
      <c r="S329" t="s">
        <v>52</v>
      </c>
      <c r="T329" s="3">
        <v>5088</v>
      </c>
    </row>
    <row r="330" spans="16:20" x14ac:dyDescent="0.2">
      <c r="P330" t="s">
        <v>636</v>
      </c>
      <c r="Q330" t="s">
        <v>50</v>
      </c>
      <c r="R330" t="s">
        <v>25</v>
      </c>
      <c r="S330" t="s">
        <v>26</v>
      </c>
      <c r="T330" s="3">
        <v>31806</v>
      </c>
    </row>
    <row r="331" spans="16:20" x14ac:dyDescent="0.2">
      <c r="P331" t="s">
        <v>638</v>
      </c>
      <c r="Q331" t="s">
        <v>170</v>
      </c>
      <c r="R331" t="s">
        <v>69</v>
      </c>
      <c r="S331" t="s">
        <v>26</v>
      </c>
      <c r="T331" s="3">
        <v>8290</v>
      </c>
    </row>
    <row r="332" spans="16:20" x14ac:dyDescent="0.2">
      <c r="P332" t="s">
        <v>639</v>
      </c>
      <c r="Q332" t="s">
        <v>103</v>
      </c>
      <c r="R332" t="s">
        <v>51</v>
      </c>
      <c r="S332" t="s">
        <v>52</v>
      </c>
      <c r="T332" s="3">
        <v>3462</v>
      </c>
    </row>
    <row r="333" spans="16:20" x14ac:dyDescent="0.2">
      <c r="P333" t="s">
        <v>641</v>
      </c>
      <c r="Q333" t="s">
        <v>58</v>
      </c>
      <c r="R333" t="s">
        <v>51</v>
      </c>
      <c r="S333" t="s">
        <v>52</v>
      </c>
      <c r="T333" s="3">
        <v>7096</v>
      </c>
    </row>
    <row r="334" spans="16:20" x14ac:dyDescent="0.2">
      <c r="P334" t="s">
        <v>642</v>
      </c>
      <c r="Q334" t="s">
        <v>133</v>
      </c>
      <c r="R334" t="s">
        <v>34</v>
      </c>
      <c r="S334" t="s">
        <v>35</v>
      </c>
      <c r="T334" s="3">
        <v>151312</v>
      </c>
    </row>
    <row r="335" spans="16:20" x14ac:dyDescent="0.2">
      <c r="P335" t="s">
        <v>643</v>
      </c>
      <c r="Q335" t="s">
        <v>68</v>
      </c>
      <c r="R335" t="s">
        <v>46</v>
      </c>
      <c r="S335" t="s">
        <v>42</v>
      </c>
      <c r="T335" s="3">
        <v>1191</v>
      </c>
    </row>
    <row r="336" spans="16:20" x14ac:dyDescent="0.2">
      <c r="P336" t="s">
        <v>644</v>
      </c>
      <c r="Q336" t="s">
        <v>58</v>
      </c>
      <c r="R336" t="s">
        <v>130</v>
      </c>
      <c r="S336" t="s">
        <v>35</v>
      </c>
      <c r="T336" s="3">
        <v>282350</v>
      </c>
    </row>
    <row r="337" spans="16:20" x14ac:dyDescent="0.2">
      <c r="P337" t="s">
        <v>645</v>
      </c>
      <c r="Q337" t="s">
        <v>24</v>
      </c>
      <c r="R337" t="s">
        <v>130</v>
      </c>
      <c r="S337" t="s">
        <v>35</v>
      </c>
      <c r="T337" s="3">
        <v>419576</v>
      </c>
    </row>
    <row r="338" spans="16:20" x14ac:dyDescent="0.2">
      <c r="P338" t="s">
        <v>647</v>
      </c>
      <c r="Q338" t="s">
        <v>45</v>
      </c>
      <c r="R338" t="s">
        <v>69</v>
      </c>
      <c r="S338" t="s">
        <v>26</v>
      </c>
      <c r="T338" s="3">
        <v>11982</v>
      </c>
    </row>
    <row r="339" spans="16:20" x14ac:dyDescent="0.2">
      <c r="P339" t="s">
        <v>648</v>
      </c>
      <c r="Q339" t="s">
        <v>75</v>
      </c>
      <c r="R339" t="s">
        <v>46</v>
      </c>
      <c r="S339" t="s">
        <v>42</v>
      </c>
      <c r="T339" s="3">
        <v>7112</v>
      </c>
    </row>
    <row r="340" spans="16:20" x14ac:dyDescent="0.2">
      <c r="P340" t="s">
        <v>649</v>
      </c>
      <c r="Q340" t="s">
        <v>68</v>
      </c>
      <c r="R340" t="s">
        <v>16</v>
      </c>
      <c r="S340" t="s">
        <v>17</v>
      </c>
      <c r="T340" s="3">
        <v>11384</v>
      </c>
    </row>
    <row r="341" spans="16:20" x14ac:dyDescent="0.2">
      <c r="P341" t="s">
        <v>650</v>
      </c>
      <c r="Q341" t="s">
        <v>15</v>
      </c>
      <c r="R341" t="s">
        <v>46</v>
      </c>
      <c r="S341" t="s">
        <v>42</v>
      </c>
      <c r="T341" s="3">
        <v>6940</v>
      </c>
    </row>
    <row r="342" spans="16:20" x14ac:dyDescent="0.2">
      <c r="P342" t="s">
        <v>651</v>
      </c>
      <c r="Q342" t="s">
        <v>58</v>
      </c>
      <c r="R342" t="s">
        <v>90</v>
      </c>
      <c r="S342" t="s">
        <v>42</v>
      </c>
      <c r="T342" s="3">
        <v>25585</v>
      </c>
    </row>
    <row r="343" spans="16:20" x14ac:dyDescent="0.2">
      <c r="P343" t="s">
        <v>653</v>
      </c>
      <c r="Q343" t="s">
        <v>112</v>
      </c>
      <c r="R343" t="s">
        <v>159</v>
      </c>
      <c r="S343" t="s">
        <v>42</v>
      </c>
      <c r="T343" s="3">
        <v>22624</v>
      </c>
    </row>
    <row r="344" spans="16:20" x14ac:dyDescent="0.2">
      <c r="P344" t="s">
        <v>654</v>
      </c>
      <c r="Q344" t="s">
        <v>78</v>
      </c>
      <c r="R344" t="s">
        <v>41</v>
      </c>
      <c r="S344" t="s">
        <v>42</v>
      </c>
      <c r="T344" s="3">
        <v>33808</v>
      </c>
    </row>
    <row r="345" spans="16:20" x14ac:dyDescent="0.2">
      <c r="P345" t="s">
        <v>655</v>
      </c>
      <c r="Q345" t="s">
        <v>112</v>
      </c>
      <c r="R345" t="s">
        <v>69</v>
      </c>
      <c r="S345" t="s">
        <v>26</v>
      </c>
      <c r="T345" s="3">
        <v>20432</v>
      </c>
    </row>
    <row r="346" spans="16:20" x14ac:dyDescent="0.2">
      <c r="P346" t="s">
        <v>657</v>
      </c>
      <c r="Q346" t="s">
        <v>103</v>
      </c>
      <c r="R346" t="s">
        <v>59</v>
      </c>
      <c r="S346" t="s">
        <v>26</v>
      </c>
      <c r="T346" s="3">
        <v>10432</v>
      </c>
    </row>
    <row r="347" spans="16:20" x14ac:dyDescent="0.2">
      <c r="P347" t="s">
        <v>658</v>
      </c>
      <c r="Q347" t="s">
        <v>15</v>
      </c>
      <c r="R347" t="s">
        <v>113</v>
      </c>
      <c r="S347" t="s">
        <v>35</v>
      </c>
      <c r="T347" s="3">
        <v>26871</v>
      </c>
    </row>
    <row r="348" spans="16:20" x14ac:dyDescent="0.2">
      <c r="P348" t="s">
        <v>659</v>
      </c>
      <c r="Q348" t="s">
        <v>170</v>
      </c>
      <c r="R348" t="s">
        <v>116</v>
      </c>
      <c r="S348" t="s">
        <v>17</v>
      </c>
      <c r="T348" s="3">
        <v>6960</v>
      </c>
    </row>
    <row r="349" spans="16:20" x14ac:dyDescent="0.2">
      <c r="P349" t="s">
        <v>661</v>
      </c>
      <c r="Q349" t="s">
        <v>50</v>
      </c>
      <c r="R349" t="s">
        <v>97</v>
      </c>
      <c r="S349" t="s">
        <v>35</v>
      </c>
      <c r="T349" s="3">
        <v>282224</v>
      </c>
    </row>
    <row r="350" spans="16:20" x14ac:dyDescent="0.2">
      <c r="P350" t="s">
        <v>662</v>
      </c>
      <c r="Q350" t="s">
        <v>78</v>
      </c>
      <c r="R350" t="s">
        <v>51</v>
      </c>
      <c r="S350" t="s">
        <v>52</v>
      </c>
      <c r="T350" s="3">
        <v>7372</v>
      </c>
    </row>
    <row r="351" spans="16:20" x14ac:dyDescent="0.2">
      <c r="P351" t="s">
        <v>664</v>
      </c>
      <c r="Q351" t="s">
        <v>24</v>
      </c>
      <c r="R351" t="s">
        <v>46</v>
      </c>
      <c r="S351" t="s">
        <v>42</v>
      </c>
      <c r="T351" s="3">
        <v>15798</v>
      </c>
    </row>
    <row r="352" spans="16:20" x14ac:dyDescent="0.2">
      <c r="P352" t="s">
        <v>665</v>
      </c>
      <c r="Q352" t="s">
        <v>45</v>
      </c>
      <c r="R352" t="s">
        <v>147</v>
      </c>
      <c r="S352" t="s">
        <v>52</v>
      </c>
      <c r="T352" s="3">
        <v>7072</v>
      </c>
    </row>
    <row r="353" spans="16:20" x14ac:dyDescent="0.2">
      <c r="P353" t="s">
        <v>667</v>
      </c>
      <c r="Q353" t="s">
        <v>146</v>
      </c>
      <c r="R353" t="s">
        <v>34</v>
      </c>
      <c r="S353" t="s">
        <v>35</v>
      </c>
      <c r="T353" s="3">
        <v>65994</v>
      </c>
    </row>
    <row r="354" spans="16:20" x14ac:dyDescent="0.2">
      <c r="P354" t="s">
        <v>669</v>
      </c>
      <c r="Q354" t="s">
        <v>179</v>
      </c>
      <c r="R354" t="s">
        <v>46</v>
      </c>
      <c r="S354" t="s">
        <v>42</v>
      </c>
      <c r="T354" s="3">
        <v>26395</v>
      </c>
    </row>
    <row r="355" spans="16:20" x14ac:dyDescent="0.2">
      <c r="P355" t="s">
        <v>671</v>
      </c>
      <c r="Q355" t="s">
        <v>146</v>
      </c>
      <c r="R355" t="s">
        <v>97</v>
      </c>
      <c r="S355" t="s">
        <v>35</v>
      </c>
      <c r="T355" s="3">
        <v>68457</v>
      </c>
    </row>
    <row r="356" spans="16:20" x14ac:dyDescent="0.2">
      <c r="P356" t="s">
        <v>672</v>
      </c>
      <c r="Q356" t="s">
        <v>78</v>
      </c>
      <c r="R356" t="s">
        <v>218</v>
      </c>
      <c r="S356" t="s">
        <v>17</v>
      </c>
      <c r="T356" s="3">
        <v>3824</v>
      </c>
    </row>
    <row r="357" spans="16:20" x14ac:dyDescent="0.2">
      <c r="P357" t="s">
        <v>674</v>
      </c>
      <c r="Q357" t="s">
        <v>68</v>
      </c>
      <c r="R357" t="s">
        <v>46</v>
      </c>
      <c r="S357" t="s">
        <v>42</v>
      </c>
      <c r="T357" s="3">
        <v>3526</v>
      </c>
    </row>
    <row r="358" spans="16:20" x14ac:dyDescent="0.2">
      <c r="P358" t="s">
        <v>676</v>
      </c>
      <c r="Q358" t="s">
        <v>15</v>
      </c>
      <c r="R358" t="s">
        <v>116</v>
      </c>
      <c r="S358" t="s">
        <v>17</v>
      </c>
      <c r="T358" s="3">
        <v>11008</v>
      </c>
    </row>
    <row r="359" spans="16:20" x14ac:dyDescent="0.2">
      <c r="P359" t="s">
        <v>677</v>
      </c>
      <c r="Q359" t="s">
        <v>40</v>
      </c>
      <c r="R359" t="s">
        <v>41</v>
      </c>
      <c r="S359" t="s">
        <v>42</v>
      </c>
      <c r="T359" s="3">
        <v>20139</v>
      </c>
    </row>
    <row r="360" spans="16:20" x14ac:dyDescent="0.2">
      <c r="P360" t="s">
        <v>678</v>
      </c>
      <c r="Q360" t="s">
        <v>78</v>
      </c>
      <c r="R360" t="s">
        <v>86</v>
      </c>
      <c r="S360" t="s">
        <v>17</v>
      </c>
      <c r="T360" s="3">
        <v>4816</v>
      </c>
    </row>
    <row r="361" spans="16:20" x14ac:dyDescent="0.2">
      <c r="P361" t="s">
        <v>679</v>
      </c>
      <c r="Q361" t="s">
        <v>24</v>
      </c>
      <c r="R361" t="s">
        <v>59</v>
      </c>
      <c r="S361" t="s">
        <v>26</v>
      </c>
      <c r="T361" s="3">
        <v>30040</v>
      </c>
    </row>
    <row r="362" spans="16:20" x14ac:dyDescent="0.2">
      <c r="P362" t="s">
        <v>680</v>
      </c>
      <c r="Q362" t="s">
        <v>50</v>
      </c>
      <c r="R362" t="s">
        <v>165</v>
      </c>
      <c r="S362" t="s">
        <v>35</v>
      </c>
      <c r="T362" s="3">
        <v>269370</v>
      </c>
    </row>
    <row r="363" spans="16:20" x14ac:dyDescent="0.2">
      <c r="P363" t="s">
        <v>682</v>
      </c>
      <c r="Q363" t="s">
        <v>15</v>
      </c>
      <c r="R363" t="s">
        <v>90</v>
      </c>
      <c r="S363" t="s">
        <v>42</v>
      </c>
      <c r="T363" s="3">
        <v>5580</v>
      </c>
    </row>
    <row r="364" spans="16:20" x14ac:dyDescent="0.2">
      <c r="P364" t="s">
        <v>683</v>
      </c>
      <c r="Q364" t="s">
        <v>146</v>
      </c>
      <c r="R364" t="s">
        <v>113</v>
      </c>
      <c r="S364" t="s">
        <v>35</v>
      </c>
      <c r="T364" s="3">
        <v>377090</v>
      </c>
    </row>
    <row r="365" spans="16:20" x14ac:dyDescent="0.2">
      <c r="P365" t="s">
        <v>684</v>
      </c>
      <c r="Q365" t="s">
        <v>75</v>
      </c>
      <c r="R365" t="s">
        <v>130</v>
      </c>
      <c r="S365" t="s">
        <v>35</v>
      </c>
      <c r="T365" s="3">
        <v>167444</v>
      </c>
    </row>
    <row r="366" spans="16:20" x14ac:dyDescent="0.2">
      <c r="P366" t="s">
        <v>685</v>
      </c>
      <c r="Q366" t="s">
        <v>170</v>
      </c>
      <c r="R366" t="s">
        <v>51</v>
      </c>
      <c r="S366" t="s">
        <v>52</v>
      </c>
      <c r="T366" s="3">
        <v>2960</v>
      </c>
    </row>
    <row r="367" spans="16:20" x14ac:dyDescent="0.2">
      <c r="P367" t="s">
        <v>686</v>
      </c>
      <c r="Q367" t="s">
        <v>170</v>
      </c>
      <c r="R367" t="s">
        <v>86</v>
      </c>
      <c r="S367" t="s">
        <v>17</v>
      </c>
      <c r="T367" s="3">
        <v>1598</v>
      </c>
    </row>
    <row r="368" spans="16:20" x14ac:dyDescent="0.2">
      <c r="P368" t="s">
        <v>688</v>
      </c>
      <c r="Q368" t="s">
        <v>125</v>
      </c>
      <c r="R368" t="s">
        <v>116</v>
      </c>
      <c r="S368" t="s">
        <v>17</v>
      </c>
      <c r="T368" s="3">
        <v>1508</v>
      </c>
    </row>
    <row r="369" spans="16:20" x14ac:dyDescent="0.2">
      <c r="P369" t="s">
        <v>689</v>
      </c>
      <c r="Q369" t="s">
        <v>58</v>
      </c>
      <c r="R369" t="s">
        <v>113</v>
      </c>
      <c r="S369" t="s">
        <v>35</v>
      </c>
      <c r="T369" s="3">
        <v>141239</v>
      </c>
    </row>
    <row r="370" spans="16:20" x14ac:dyDescent="0.2">
      <c r="P370" t="s">
        <v>691</v>
      </c>
      <c r="Q370" t="s">
        <v>170</v>
      </c>
      <c r="R370" t="s">
        <v>218</v>
      </c>
      <c r="S370" t="s">
        <v>17</v>
      </c>
      <c r="T370" s="3">
        <v>10212</v>
      </c>
    </row>
    <row r="371" spans="16:20" x14ac:dyDescent="0.2">
      <c r="P371" t="s">
        <v>693</v>
      </c>
      <c r="Q371" t="s">
        <v>72</v>
      </c>
      <c r="R371" t="s">
        <v>109</v>
      </c>
      <c r="S371" t="s">
        <v>52</v>
      </c>
      <c r="T371" s="3">
        <v>6776</v>
      </c>
    </row>
    <row r="372" spans="16:20" x14ac:dyDescent="0.2">
      <c r="P372" t="s">
        <v>694</v>
      </c>
      <c r="Q372" t="s">
        <v>170</v>
      </c>
      <c r="R372" t="s">
        <v>86</v>
      </c>
      <c r="S372" t="s">
        <v>17</v>
      </c>
      <c r="T372" s="3">
        <v>2667</v>
      </c>
    </row>
    <row r="373" spans="16:20" x14ac:dyDescent="0.2">
      <c r="P373" t="s">
        <v>695</v>
      </c>
      <c r="Q373" t="s">
        <v>103</v>
      </c>
      <c r="R373" t="s">
        <v>59</v>
      </c>
      <c r="S373" t="s">
        <v>26</v>
      </c>
      <c r="T373" s="3">
        <v>82808</v>
      </c>
    </row>
    <row r="374" spans="16:20" x14ac:dyDescent="0.2">
      <c r="P374" t="s">
        <v>696</v>
      </c>
      <c r="Q374" t="s">
        <v>68</v>
      </c>
      <c r="R374" t="s">
        <v>109</v>
      </c>
      <c r="S374" t="s">
        <v>52</v>
      </c>
      <c r="T374" s="3">
        <v>2272</v>
      </c>
    </row>
    <row r="375" spans="16:20" x14ac:dyDescent="0.2">
      <c r="P375" t="s">
        <v>698</v>
      </c>
      <c r="Q375" t="s">
        <v>78</v>
      </c>
      <c r="R375" t="s">
        <v>51</v>
      </c>
      <c r="S375" t="s">
        <v>52</v>
      </c>
      <c r="T375" s="3">
        <v>4470</v>
      </c>
    </row>
    <row r="376" spans="16:20" x14ac:dyDescent="0.2">
      <c r="P376" t="s">
        <v>699</v>
      </c>
      <c r="Q376" t="s">
        <v>122</v>
      </c>
      <c r="R376" t="s">
        <v>109</v>
      </c>
      <c r="S376" t="s">
        <v>52</v>
      </c>
      <c r="T376" s="3">
        <v>7144</v>
      </c>
    </row>
    <row r="377" spans="16:20" x14ac:dyDescent="0.2">
      <c r="P377" t="s">
        <v>700</v>
      </c>
      <c r="Q377" t="s">
        <v>112</v>
      </c>
      <c r="R377" t="s">
        <v>97</v>
      </c>
      <c r="S377" t="s">
        <v>35</v>
      </c>
      <c r="T377" s="3">
        <v>236490</v>
      </c>
    </row>
    <row r="378" spans="16:20" x14ac:dyDescent="0.2">
      <c r="P378" t="s">
        <v>701</v>
      </c>
      <c r="Q378" t="s">
        <v>58</v>
      </c>
      <c r="R378" t="s">
        <v>63</v>
      </c>
      <c r="S378" t="s">
        <v>52</v>
      </c>
      <c r="T378" s="3">
        <v>7990</v>
      </c>
    </row>
    <row r="379" spans="16:20" x14ac:dyDescent="0.2">
      <c r="P379" t="s">
        <v>703</v>
      </c>
      <c r="Q379" t="s">
        <v>24</v>
      </c>
      <c r="R379" t="s">
        <v>165</v>
      </c>
      <c r="S379" t="s">
        <v>35</v>
      </c>
      <c r="T379" s="3">
        <v>308798</v>
      </c>
    </row>
    <row r="380" spans="16:20" x14ac:dyDescent="0.2">
      <c r="P380" t="s">
        <v>704</v>
      </c>
      <c r="Q380" t="s">
        <v>45</v>
      </c>
      <c r="R380" t="s">
        <v>97</v>
      </c>
      <c r="S380" t="s">
        <v>35</v>
      </c>
      <c r="T380" s="3">
        <v>112085</v>
      </c>
    </row>
    <row r="381" spans="16:20" x14ac:dyDescent="0.2">
      <c r="P381" t="s">
        <v>706</v>
      </c>
      <c r="Q381" t="s">
        <v>129</v>
      </c>
      <c r="R381" t="s">
        <v>79</v>
      </c>
      <c r="S381" t="s">
        <v>26</v>
      </c>
      <c r="T381" s="3">
        <v>9030</v>
      </c>
    </row>
    <row r="382" spans="16:20" x14ac:dyDescent="0.2">
      <c r="P382" t="s">
        <v>707</v>
      </c>
      <c r="Q382" t="s">
        <v>179</v>
      </c>
      <c r="R382" t="s">
        <v>159</v>
      </c>
      <c r="S382" t="s">
        <v>42</v>
      </c>
      <c r="T382" s="3">
        <v>3288</v>
      </c>
    </row>
    <row r="383" spans="16:20" x14ac:dyDescent="0.2">
      <c r="P383" t="s">
        <v>709</v>
      </c>
      <c r="Q383" t="s">
        <v>170</v>
      </c>
      <c r="R383" t="s">
        <v>90</v>
      </c>
      <c r="S383" t="s">
        <v>42</v>
      </c>
      <c r="T383" s="3">
        <v>24096</v>
      </c>
    </row>
    <row r="384" spans="16:20" x14ac:dyDescent="0.2">
      <c r="P384" t="s">
        <v>710</v>
      </c>
      <c r="Q384" t="s">
        <v>179</v>
      </c>
      <c r="R384" t="s">
        <v>90</v>
      </c>
      <c r="S384" t="s">
        <v>42</v>
      </c>
      <c r="T384" s="3">
        <v>4084</v>
      </c>
    </row>
    <row r="385" spans="16:20" x14ac:dyDescent="0.2">
      <c r="P385" t="s">
        <v>711</v>
      </c>
      <c r="Q385" t="s">
        <v>146</v>
      </c>
      <c r="R385" t="s">
        <v>130</v>
      </c>
      <c r="S385" t="s">
        <v>35</v>
      </c>
      <c r="T385" s="3">
        <v>248592</v>
      </c>
    </row>
    <row r="386" spans="16:20" x14ac:dyDescent="0.2">
      <c r="P386" t="s">
        <v>712</v>
      </c>
      <c r="Q386" t="s">
        <v>146</v>
      </c>
      <c r="R386" t="s">
        <v>79</v>
      </c>
      <c r="S386" t="s">
        <v>26</v>
      </c>
      <c r="T386" s="3">
        <v>57631</v>
      </c>
    </row>
    <row r="387" spans="16:20" x14ac:dyDescent="0.2">
      <c r="P387" t="s">
        <v>714</v>
      </c>
      <c r="Q387" t="s">
        <v>50</v>
      </c>
      <c r="R387" t="s">
        <v>147</v>
      </c>
      <c r="S387" t="s">
        <v>52</v>
      </c>
      <c r="T387" s="3">
        <v>4180</v>
      </c>
    </row>
    <row r="388" spans="16:20" x14ac:dyDescent="0.2">
      <c r="P388" t="s">
        <v>715</v>
      </c>
      <c r="Q388" t="s">
        <v>40</v>
      </c>
      <c r="R388" t="s">
        <v>109</v>
      </c>
      <c r="S388" t="s">
        <v>52</v>
      </c>
      <c r="T388" s="3">
        <v>2526</v>
      </c>
    </row>
    <row r="389" spans="16:20" x14ac:dyDescent="0.2">
      <c r="P389" t="s">
        <v>717</v>
      </c>
      <c r="Q389" t="s">
        <v>122</v>
      </c>
      <c r="R389" t="s">
        <v>63</v>
      </c>
      <c r="S389" t="s">
        <v>52</v>
      </c>
      <c r="T389" s="3">
        <v>10640</v>
      </c>
    </row>
    <row r="390" spans="16:20" x14ac:dyDescent="0.2">
      <c r="P390" t="s">
        <v>718</v>
      </c>
      <c r="Q390" t="s">
        <v>33</v>
      </c>
      <c r="R390" t="s">
        <v>90</v>
      </c>
      <c r="S390" t="s">
        <v>42</v>
      </c>
      <c r="T390" s="3">
        <v>5777</v>
      </c>
    </row>
    <row r="391" spans="16:20" x14ac:dyDescent="0.2">
      <c r="P391" t="s">
        <v>719</v>
      </c>
      <c r="Q391" t="s">
        <v>24</v>
      </c>
      <c r="R391" t="s">
        <v>113</v>
      </c>
      <c r="S391" t="s">
        <v>35</v>
      </c>
      <c r="T391" s="3">
        <v>45899</v>
      </c>
    </row>
    <row r="392" spans="16:20" x14ac:dyDescent="0.2">
      <c r="P392" t="s">
        <v>720</v>
      </c>
      <c r="Q392" t="s">
        <v>40</v>
      </c>
      <c r="R392" t="s">
        <v>46</v>
      </c>
      <c r="S392" t="s">
        <v>42</v>
      </c>
      <c r="T392" s="3">
        <v>7608</v>
      </c>
    </row>
    <row r="393" spans="16:20" x14ac:dyDescent="0.2">
      <c r="P393" t="s">
        <v>721</v>
      </c>
      <c r="Q393" t="s">
        <v>125</v>
      </c>
      <c r="R393" t="s">
        <v>130</v>
      </c>
      <c r="S393" t="s">
        <v>35</v>
      </c>
      <c r="T393" s="3">
        <v>209300</v>
      </c>
    </row>
    <row r="394" spans="16:20" x14ac:dyDescent="0.2">
      <c r="P394" t="s">
        <v>723</v>
      </c>
      <c r="Q394" t="s">
        <v>45</v>
      </c>
      <c r="R394" t="s">
        <v>59</v>
      </c>
      <c r="S394" t="s">
        <v>26</v>
      </c>
      <c r="T394" s="3">
        <v>53724</v>
      </c>
    </row>
    <row r="395" spans="16:20" x14ac:dyDescent="0.2">
      <c r="P395" t="s">
        <v>724</v>
      </c>
      <c r="Q395" t="s">
        <v>129</v>
      </c>
      <c r="R395" t="s">
        <v>16</v>
      </c>
      <c r="S395" t="s">
        <v>17</v>
      </c>
      <c r="T395" s="3">
        <v>12640</v>
      </c>
    </row>
    <row r="396" spans="16:20" x14ac:dyDescent="0.2">
      <c r="P396" t="s">
        <v>725</v>
      </c>
      <c r="Q396" t="s">
        <v>170</v>
      </c>
      <c r="R396" t="s">
        <v>109</v>
      </c>
      <c r="S396" t="s">
        <v>52</v>
      </c>
      <c r="T396" s="3">
        <v>2958</v>
      </c>
    </row>
    <row r="397" spans="16:20" x14ac:dyDescent="0.2">
      <c r="P397" t="s">
        <v>726</v>
      </c>
      <c r="Q397" t="s">
        <v>146</v>
      </c>
      <c r="R397" t="s">
        <v>63</v>
      </c>
      <c r="S397" t="s">
        <v>52</v>
      </c>
      <c r="T397" s="3">
        <v>13272</v>
      </c>
    </row>
    <row r="398" spans="16:20" x14ac:dyDescent="0.2">
      <c r="P398" t="s">
        <v>728</v>
      </c>
      <c r="Q398" t="s">
        <v>129</v>
      </c>
      <c r="R398" t="s">
        <v>41</v>
      </c>
      <c r="S398" t="s">
        <v>42</v>
      </c>
      <c r="T398" s="3">
        <v>25445</v>
      </c>
    </row>
    <row r="399" spans="16:20" x14ac:dyDescent="0.2">
      <c r="P399" t="s">
        <v>730</v>
      </c>
      <c r="Q399" t="s">
        <v>170</v>
      </c>
      <c r="R399" t="s">
        <v>218</v>
      </c>
      <c r="S399" t="s">
        <v>17</v>
      </c>
      <c r="T399" s="3">
        <v>4407</v>
      </c>
    </row>
    <row r="400" spans="16:20" x14ac:dyDescent="0.2">
      <c r="P400" t="s">
        <v>732</v>
      </c>
      <c r="Q400" t="s">
        <v>129</v>
      </c>
      <c r="R400" t="s">
        <v>41</v>
      </c>
      <c r="S400" t="s">
        <v>42</v>
      </c>
      <c r="T400" s="3">
        <v>9880</v>
      </c>
    </row>
    <row r="401" spans="16:20" x14ac:dyDescent="0.2">
      <c r="P401" t="s">
        <v>733</v>
      </c>
      <c r="Q401" t="s">
        <v>68</v>
      </c>
      <c r="R401" t="s">
        <v>41</v>
      </c>
      <c r="S401" t="s">
        <v>42</v>
      </c>
      <c r="T401" s="3">
        <v>14967</v>
      </c>
    </row>
    <row r="402" spans="16:20" x14ac:dyDescent="0.2">
      <c r="P402" t="s">
        <v>735</v>
      </c>
      <c r="Q402" t="s">
        <v>68</v>
      </c>
      <c r="R402" t="s">
        <v>116</v>
      </c>
      <c r="S402" t="s">
        <v>17</v>
      </c>
      <c r="T402" s="3">
        <v>616</v>
      </c>
    </row>
    <row r="403" spans="16:20" x14ac:dyDescent="0.2">
      <c r="P403" t="s">
        <v>736</v>
      </c>
      <c r="Q403" t="s">
        <v>68</v>
      </c>
      <c r="R403" t="s">
        <v>59</v>
      </c>
      <c r="S403" t="s">
        <v>26</v>
      </c>
      <c r="T403" s="3">
        <v>21328</v>
      </c>
    </row>
    <row r="404" spans="16:20" x14ac:dyDescent="0.2">
      <c r="P404" t="s">
        <v>738</v>
      </c>
      <c r="Q404" t="s">
        <v>58</v>
      </c>
      <c r="R404" t="s">
        <v>113</v>
      </c>
      <c r="S404" t="s">
        <v>35</v>
      </c>
      <c r="T404" s="3">
        <v>96832</v>
      </c>
    </row>
    <row r="405" spans="16:20" x14ac:dyDescent="0.2">
      <c r="P405" t="s">
        <v>740</v>
      </c>
      <c r="Q405" t="s">
        <v>33</v>
      </c>
      <c r="R405" t="s">
        <v>165</v>
      </c>
      <c r="S405" t="s">
        <v>35</v>
      </c>
      <c r="T405" s="3">
        <v>50400</v>
      </c>
    </row>
    <row r="406" spans="16:20" x14ac:dyDescent="0.2">
      <c r="P406" t="s">
        <v>741</v>
      </c>
      <c r="Q406" t="s">
        <v>58</v>
      </c>
      <c r="R406" t="s">
        <v>51</v>
      </c>
      <c r="S406" t="s">
        <v>52</v>
      </c>
      <c r="T406" s="3">
        <v>9666</v>
      </c>
    </row>
    <row r="407" spans="16:20" x14ac:dyDescent="0.2">
      <c r="P407" t="s">
        <v>742</v>
      </c>
      <c r="Q407" t="s">
        <v>50</v>
      </c>
      <c r="R407" t="s">
        <v>116</v>
      </c>
      <c r="S407" t="s">
        <v>17</v>
      </c>
      <c r="T407" s="3">
        <v>10104</v>
      </c>
    </row>
    <row r="408" spans="16:20" x14ac:dyDescent="0.2">
      <c r="P408" t="s">
        <v>744</v>
      </c>
      <c r="Q408" t="s">
        <v>129</v>
      </c>
      <c r="R408" t="s">
        <v>90</v>
      </c>
      <c r="S408" t="s">
        <v>42</v>
      </c>
      <c r="T408" s="3">
        <v>9242</v>
      </c>
    </row>
    <row r="409" spans="16:20" x14ac:dyDescent="0.2">
      <c r="P409" t="s">
        <v>745</v>
      </c>
      <c r="Q409" t="s">
        <v>78</v>
      </c>
      <c r="R409" t="s">
        <v>41</v>
      </c>
      <c r="S409" t="s">
        <v>42</v>
      </c>
      <c r="T409" s="3">
        <v>7966</v>
      </c>
    </row>
    <row r="410" spans="16:20" x14ac:dyDescent="0.2">
      <c r="P410" t="s">
        <v>746</v>
      </c>
      <c r="Q410" t="s">
        <v>58</v>
      </c>
      <c r="R410" t="s">
        <v>218</v>
      </c>
      <c r="S410" t="s">
        <v>17</v>
      </c>
      <c r="T410" s="3">
        <v>8337</v>
      </c>
    </row>
    <row r="411" spans="16:20" x14ac:dyDescent="0.2">
      <c r="P411" t="s">
        <v>747</v>
      </c>
      <c r="Q411" t="s">
        <v>170</v>
      </c>
      <c r="R411" t="s">
        <v>165</v>
      </c>
      <c r="S411" t="s">
        <v>35</v>
      </c>
      <c r="T411" s="3">
        <v>445504</v>
      </c>
    </row>
    <row r="412" spans="16:20" x14ac:dyDescent="0.2">
      <c r="P412" t="s">
        <v>748</v>
      </c>
      <c r="Q412" t="s">
        <v>179</v>
      </c>
      <c r="R412" t="s">
        <v>63</v>
      </c>
      <c r="S412" t="s">
        <v>52</v>
      </c>
      <c r="T412" s="3">
        <v>861</v>
      </c>
    </row>
    <row r="413" spans="16:20" x14ac:dyDescent="0.2">
      <c r="P413" t="s">
        <v>749</v>
      </c>
      <c r="Q413" t="s">
        <v>33</v>
      </c>
      <c r="R413" t="s">
        <v>59</v>
      </c>
      <c r="S413" t="s">
        <v>26</v>
      </c>
      <c r="T413" s="3">
        <v>44532</v>
      </c>
    </row>
    <row r="414" spans="16:20" x14ac:dyDescent="0.2">
      <c r="P414" t="s">
        <v>750</v>
      </c>
      <c r="Q414" t="s">
        <v>50</v>
      </c>
      <c r="R414" t="s">
        <v>59</v>
      </c>
      <c r="S414" t="s">
        <v>26</v>
      </c>
      <c r="T414" s="3">
        <v>36295</v>
      </c>
    </row>
    <row r="415" spans="16:20" x14ac:dyDescent="0.2">
      <c r="P415" t="s">
        <v>751</v>
      </c>
      <c r="Q415" t="s">
        <v>72</v>
      </c>
      <c r="R415" t="s">
        <v>51</v>
      </c>
      <c r="S415" t="s">
        <v>52</v>
      </c>
      <c r="T415" s="3">
        <v>7300</v>
      </c>
    </row>
    <row r="416" spans="16:20" x14ac:dyDescent="0.2">
      <c r="P416" t="s">
        <v>753</v>
      </c>
      <c r="Q416" t="s">
        <v>45</v>
      </c>
      <c r="R416" t="s">
        <v>51</v>
      </c>
      <c r="S416" t="s">
        <v>52</v>
      </c>
      <c r="T416" s="3">
        <v>4172</v>
      </c>
    </row>
    <row r="417" spans="16:20" x14ac:dyDescent="0.2">
      <c r="P417" t="s">
        <v>754</v>
      </c>
      <c r="Q417" t="s">
        <v>112</v>
      </c>
      <c r="R417" t="s">
        <v>69</v>
      </c>
      <c r="S417" t="s">
        <v>26</v>
      </c>
      <c r="T417" s="3">
        <v>5526</v>
      </c>
    </row>
    <row r="418" spans="16:20" x14ac:dyDescent="0.2">
      <c r="P418" t="s">
        <v>755</v>
      </c>
      <c r="Q418" t="s">
        <v>72</v>
      </c>
      <c r="R418" t="s">
        <v>16</v>
      </c>
      <c r="S418" t="s">
        <v>17</v>
      </c>
      <c r="T418" s="3">
        <v>13944</v>
      </c>
    </row>
    <row r="419" spans="16:20" x14ac:dyDescent="0.2">
      <c r="P419" t="s">
        <v>757</v>
      </c>
      <c r="Q419" t="s">
        <v>45</v>
      </c>
      <c r="R419" t="s">
        <v>25</v>
      </c>
      <c r="S419" t="s">
        <v>26</v>
      </c>
      <c r="T419" s="3">
        <v>19268</v>
      </c>
    </row>
    <row r="420" spans="16:20" x14ac:dyDescent="0.2">
      <c r="P420" t="s">
        <v>758</v>
      </c>
      <c r="Q420" t="s">
        <v>45</v>
      </c>
      <c r="R420" t="s">
        <v>90</v>
      </c>
      <c r="S420" t="s">
        <v>42</v>
      </c>
      <c r="T420" s="3">
        <v>28728</v>
      </c>
    </row>
    <row r="421" spans="16:20" x14ac:dyDescent="0.2">
      <c r="P421" t="s">
        <v>759</v>
      </c>
      <c r="Q421" t="s">
        <v>72</v>
      </c>
      <c r="R421" t="s">
        <v>116</v>
      </c>
      <c r="S421" t="s">
        <v>17</v>
      </c>
      <c r="T421" s="3">
        <v>4419</v>
      </c>
    </row>
    <row r="422" spans="16:20" x14ac:dyDescent="0.2">
      <c r="P422" t="s">
        <v>761</v>
      </c>
      <c r="Q422" t="s">
        <v>146</v>
      </c>
      <c r="R422" t="s">
        <v>34</v>
      </c>
      <c r="S422" t="s">
        <v>35</v>
      </c>
      <c r="T422" s="3">
        <v>21805</v>
      </c>
    </row>
    <row r="423" spans="16:20" x14ac:dyDescent="0.2">
      <c r="P423" t="s">
        <v>762</v>
      </c>
      <c r="Q423" t="s">
        <v>50</v>
      </c>
      <c r="R423" t="s">
        <v>51</v>
      </c>
      <c r="S423" t="s">
        <v>52</v>
      </c>
      <c r="T423" s="3">
        <v>595</v>
      </c>
    </row>
    <row r="424" spans="16:20" x14ac:dyDescent="0.2">
      <c r="P424" t="s">
        <v>764</v>
      </c>
      <c r="Q424" t="s">
        <v>78</v>
      </c>
      <c r="R424" t="s">
        <v>109</v>
      </c>
      <c r="S424" t="s">
        <v>52</v>
      </c>
      <c r="T424" s="3">
        <v>2325</v>
      </c>
    </row>
    <row r="425" spans="16:20" x14ac:dyDescent="0.2">
      <c r="P425" t="s">
        <v>765</v>
      </c>
      <c r="Q425" t="s">
        <v>68</v>
      </c>
      <c r="R425" t="s">
        <v>46</v>
      </c>
      <c r="S425" t="s">
        <v>42</v>
      </c>
      <c r="T425" s="3">
        <v>26803</v>
      </c>
    </row>
    <row r="426" spans="16:20" x14ac:dyDescent="0.2">
      <c r="P426" t="s">
        <v>766</v>
      </c>
      <c r="Q426" t="s">
        <v>58</v>
      </c>
      <c r="R426" t="s">
        <v>59</v>
      </c>
      <c r="S426" t="s">
        <v>26</v>
      </c>
      <c r="T426" s="3">
        <v>36040</v>
      </c>
    </row>
    <row r="427" spans="16:20" x14ac:dyDescent="0.2">
      <c r="P427" t="s">
        <v>767</v>
      </c>
      <c r="Q427" t="s">
        <v>129</v>
      </c>
      <c r="R427" t="s">
        <v>165</v>
      </c>
      <c r="S427" t="s">
        <v>35</v>
      </c>
      <c r="T427" s="3">
        <v>56403</v>
      </c>
    </row>
    <row r="428" spans="16:20" x14ac:dyDescent="0.2">
      <c r="P428" t="s">
        <v>768</v>
      </c>
      <c r="Q428" t="s">
        <v>75</v>
      </c>
      <c r="R428" t="s">
        <v>147</v>
      </c>
      <c r="S428" t="s">
        <v>52</v>
      </c>
      <c r="T428" s="3">
        <v>2276</v>
      </c>
    </row>
    <row r="429" spans="16:20" x14ac:dyDescent="0.2">
      <c r="P429" t="s">
        <v>769</v>
      </c>
      <c r="Q429" t="s">
        <v>133</v>
      </c>
      <c r="R429" t="s">
        <v>79</v>
      </c>
      <c r="S429" t="s">
        <v>26</v>
      </c>
      <c r="T429" s="3">
        <v>33795</v>
      </c>
    </row>
    <row r="430" spans="16:20" x14ac:dyDescent="0.2">
      <c r="P430" t="s">
        <v>770</v>
      </c>
      <c r="Q430" t="s">
        <v>24</v>
      </c>
      <c r="R430" t="s">
        <v>147</v>
      </c>
      <c r="S430" t="s">
        <v>52</v>
      </c>
      <c r="T430" s="3">
        <v>1841</v>
      </c>
    </row>
    <row r="431" spans="16:20" x14ac:dyDescent="0.2">
      <c r="P431" t="s">
        <v>771</v>
      </c>
      <c r="Q431" t="s">
        <v>146</v>
      </c>
      <c r="R431" t="s">
        <v>51</v>
      </c>
      <c r="S431" t="s">
        <v>52</v>
      </c>
      <c r="T431" s="3">
        <v>6712</v>
      </c>
    </row>
    <row r="432" spans="16:20" x14ac:dyDescent="0.2">
      <c r="P432" t="s">
        <v>772</v>
      </c>
      <c r="Q432" t="s">
        <v>50</v>
      </c>
      <c r="R432" t="s">
        <v>16</v>
      </c>
      <c r="S432" t="s">
        <v>17</v>
      </c>
      <c r="T432" s="3">
        <v>6065</v>
      </c>
    </row>
    <row r="433" spans="16:20" x14ac:dyDescent="0.2">
      <c r="P433" t="s">
        <v>773</v>
      </c>
      <c r="Q433" t="s">
        <v>125</v>
      </c>
      <c r="R433" t="s">
        <v>41</v>
      </c>
      <c r="S433" t="s">
        <v>42</v>
      </c>
      <c r="T433" s="3">
        <v>10192</v>
      </c>
    </row>
    <row r="434" spans="16:20" x14ac:dyDescent="0.2">
      <c r="P434" t="s">
        <v>774</v>
      </c>
      <c r="Q434" t="s">
        <v>179</v>
      </c>
      <c r="R434" t="s">
        <v>97</v>
      </c>
      <c r="S434" t="s">
        <v>35</v>
      </c>
      <c r="T434" s="3">
        <v>94144</v>
      </c>
    </row>
    <row r="435" spans="16:20" x14ac:dyDescent="0.2">
      <c r="P435" t="s">
        <v>775</v>
      </c>
      <c r="Q435" t="s">
        <v>72</v>
      </c>
      <c r="R435" t="s">
        <v>109</v>
      </c>
      <c r="S435" t="s">
        <v>52</v>
      </c>
      <c r="T435" s="3">
        <v>12047</v>
      </c>
    </row>
    <row r="436" spans="16:20" x14ac:dyDescent="0.2">
      <c r="P436" t="s">
        <v>776</v>
      </c>
      <c r="Q436" t="s">
        <v>15</v>
      </c>
      <c r="R436" t="s">
        <v>79</v>
      </c>
      <c r="S436" t="s">
        <v>26</v>
      </c>
      <c r="T436" s="3">
        <v>66836</v>
      </c>
    </row>
    <row r="437" spans="16:20" x14ac:dyDescent="0.2">
      <c r="P437" t="s">
        <v>777</v>
      </c>
      <c r="Q437" t="s">
        <v>75</v>
      </c>
      <c r="R437" t="s">
        <v>113</v>
      </c>
      <c r="S437" t="s">
        <v>35</v>
      </c>
      <c r="T437" s="3">
        <v>125158</v>
      </c>
    </row>
    <row r="438" spans="16:20" x14ac:dyDescent="0.2">
      <c r="P438" t="s">
        <v>778</v>
      </c>
      <c r="Q438" t="s">
        <v>68</v>
      </c>
      <c r="R438" t="s">
        <v>116</v>
      </c>
      <c r="S438" t="s">
        <v>17</v>
      </c>
      <c r="T438" s="3">
        <v>797</v>
      </c>
    </row>
    <row r="439" spans="16:20" x14ac:dyDescent="0.2">
      <c r="P439" t="s">
        <v>779</v>
      </c>
      <c r="Q439" t="s">
        <v>58</v>
      </c>
      <c r="R439" t="s">
        <v>16</v>
      </c>
      <c r="S439" t="s">
        <v>17</v>
      </c>
      <c r="T439" s="3">
        <v>1716</v>
      </c>
    </row>
    <row r="440" spans="16:20" x14ac:dyDescent="0.2">
      <c r="P440" t="s">
        <v>780</v>
      </c>
      <c r="Q440" t="s">
        <v>129</v>
      </c>
      <c r="R440" t="s">
        <v>147</v>
      </c>
      <c r="S440" t="s">
        <v>52</v>
      </c>
      <c r="T440" s="3">
        <v>1524</v>
      </c>
    </row>
    <row r="441" spans="16:20" x14ac:dyDescent="0.2">
      <c r="P441" t="s">
        <v>781</v>
      </c>
      <c r="Q441" t="s">
        <v>24</v>
      </c>
      <c r="R441" t="s">
        <v>147</v>
      </c>
      <c r="S441" t="s">
        <v>52</v>
      </c>
      <c r="T441" s="3">
        <v>3580</v>
      </c>
    </row>
    <row r="442" spans="16:20" x14ac:dyDescent="0.2">
      <c r="P442" t="s">
        <v>782</v>
      </c>
      <c r="Q442" t="s">
        <v>45</v>
      </c>
      <c r="R442" t="s">
        <v>159</v>
      </c>
      <c r="S442" t="s">
        <v>42</v>
      </c>
      <c r="T442" s="3">
        <v>13167</v>
      </c>
    </row>
    <row r="443" spans="16:20" x14ac:dyDescent="0.2">
      <c r="P443" t="s">
        <v>783</v>
      </c>
      <c r="Q443" t="s">
        <v>45</v>
      </c>
      <c r="R443" t="s">
        <v>41</v>
      </c>
      <c r="S443" t="s">
        <v>42</v>
      </c>
      <c r="T443" s="3">
        <v>26340</v>
      </c>
    </row>
    <row r="444" spans="16:20" x14ac:dyDescent="0.2">
      <c r="P444" t="s">
        <v>785</v>
      </c>
      <c r="Q444" t="s">
        <v>33</v>
      </c>
      <c r="R444" t="s">
        <v>109</v>
      </c>
      <c r="S444" t="s">
        <v>52</v>
      </c>
      <c r="T444" s="3">
        <v>3444</v>
      </c>
    </row>
    <row r="445" spans="16:20" x14ac:dyDescent="0.2">
      <c r="P445" t="s">
        <v>786</v>
      </c>
      <c r="Q445" t="s">
        <v>24</v>
      </c>
      <c r="R445" t="s">
        <v>51</v>
      </c>
      <c r="S445" t="s">
        <v>52</v>
      </c>
      <c r="T445" s="3">
        <v>12636</v>
      </c>
    </row>
    <row r="446" spans="16:20" x14ac:dyDescent="0.2">
      <c r="P446" t="s">
        <v>787</v>
      </c>
      <c r="Q446" t="s">
        <v>122</v>
      </c>
      <c r="R446" t="s">
        <v>86</v>
      </c>
      <c r="S446" t="s">
        <v>17</v>
      </c>
      <c r="T446" s="3">
        <v>6948</v>
      </c>
    </row>
    <row r="447" spans="16:20" x14ac:dyDescent="0.2">
      <c r="P447" t="s">
        <v>788</v>
      </c>
      <c r="Q447" t="s">
        <v>24</v>
      </c>
      <c r="R447" t="s">
        <v>159</v>
      </c>
      <c r="S447" t="s">
        <v>42</v>
      </c>
      <c r="T447" s="3">
        <v>34160</v>
      </c>
    </row>
    <row r="448" spans="16:20" x14ac:dyDescent="0.2">
      <c r="P448" t="s">
        <v>789</v>
      </c>
      <c r="Q448" t="s">
        <v>103</v>
      </c>
      <c r="R448" t="s">
        <v>159</v>
      </c>
      <c r="S448" t="s">
        <v>42</v>
      </c>
      <c r="T448" s="3">
        <v>10452</v>
      </c>
    </row>
    <row r="449" spans="16:20" x14ac:dyDescent="0.2">
      <c r="P449" t="s">
        <v>791</v>
      </c>
      <c r="Q449" t="s">
        <v>58</v>
      </c>
      <c r="R449" t="s">
        <v>90</v>
      </c>
      <c r="S449" t="s">
        <v>42</v>
      </c>
      <c r="T449" s="3">
        <v>11904</v>
      </c>
    </row>
    <row r="450" spans="16:20" x14ac:dyDescent="0.2">
      <c r="P450" t="s">
        <v>792</v>
      </c>
      <c r="Q450" t="s">
        <v>58</v>
      </c>
      <c r="R450" t="s">
        <v>90</v>
      </c>
      <c r="S450" t="s">
        <v>42</v>
      </c>
      <c r="T450" s="3">
        <v>33656</v>
      </c>
    </row>
    <row r="451" spans="16:20" x14ac:dyDescent="0.2">
      <c r="P451" t="s">
        <v>793</v>
      </c>
      <c r="Q451" t="s">
        <v>146</v>
      </c>
      <c r="R451" t="s">
        <v>41</v>
      </c>
      <c r="S451" t="s">
        <v>42</v>
      </c>
      <c r="T451" s="3">
        <v>40400</v>
      </c>
    </row>
    <row r="452" spans="16:20" x14ac:dyDescent="0.2">
      <c r="P452" t="s">
        <v>794</v>
      </c>
      <c r="Q452" t="s">
        <v>15</v>
      </c>
      <c r="R452" t="s">
        <v>25</v>
      </c>
      <c r="S452" t="s">
        <v>26</v>
      </c>
      <c r="T452" s="3">
        <v>33012</v>
      </c>
    </row>
    <row r="453" spans="16:20" x14ac:dyDescent="0.2">
      <c r="P453" t="s">
        <v>795</v>
      </c>
      <c r="Q453" t="s">
        <v>75</v>
      </c>
      <c r="R453" t="s">
        <v>41</v>
      </c>
      <c r="S453" t="s">
        <v>42</v>
      </c>
      <c r="T453" s="3">
        <v>29872</v>
      </c>
    </row>
    <row r="454" spans="16:20" x14ac:dyDescent="0.2">
      <c r="P454" t="s">
        <v>796</v>
      </c>
      <c r="Q454" t="s">
        <v>33</v>
      </c>
      <c r="R454" t="s">
        <v>97</v>
      </c>
      <c r="S454" t="s">
        <v>35</v>
      </c>
      <c r="T454" s="3">
        <v>335296</v>
      </c>
    </row>
    <row r="455" spans="16:20" x14ac:dyDescent="0.2">
      <c r="P455" t="s">
        <v>798</v>
      </c>
      <c r="Q455" t="s">
        <v>78</v>
      </c>
      <c r="R455" t="s">
        <v>41</v>
      </c>
      <c r="S455" t="s">
        <v>42</v>
      </c>
      <c r="T455" s="3">
        <v>14262</v>
      </c>
    </row>
    <row r="456" spans="16:20" x14ac:dyDescent="0.2">
      <c r="P456" t="s">
        <v>800</v>
      </c>
      <c r="Q456" t="s">
        <v>125</v>
      </c>
      <c r="R456" t="s">
        <v>109</v>
      </c>
      <c r="S456" t="s">
        <v>52</v>
      </c>
      <c r="T456" s="3">
        <v>9910</v>
      </c>
    </row>
    <row r="457" spans="16:20" x14ac:dyDescent="0.2">
      <c r="P457" t="s">
        <v>801</v>
      </c>
      <c r="Q457" t="s">
        <v>40</v>
      </c>
      <c r="R457" t="s">
        <v>59</v>
      </c>
      <c r="S457" t="s">
        <v>26</v>
      </c>
      <c r="T457" s="3">
        <v>13380</v>
      </c>
    </row>
    <row r="458" spans="16:20" x14ac:dyDescent="0.2">
      <c r="P458" t="s">
        <v>803</v>
      </c>
      <c r="Q458" t="s">
        <v>78</v>
      </c>
      <c r="R458" t="s">
        <v>113</v>
      </c>
      <c r="S458" t="s">
        <v>35</v>
      </c>
      <c r="T458" s="3">
        <v>87816</v>
      </c>
    </row>
    <row r="459" spans="16:20" x14ac:dyDescent="0.2">
      <c r="P459" t="s">
        <v>804</v>
      </c>
      <c r="Q459" t="s">
        <v>133</v>
      </c>
      <c r="R459" t="s">
        <v>90</v>
      </c>
      <c r="S459" t="s">
        <v>42</v>
      </c>
      <c r="T459" s="3">
        <v>880</v>
      </c>
    </row>
    <row r="460" spans="16:20" x14ac:dyDescent="0.2">
      <c r="P460" t="s">
        <v>806</v>
      </c>
      <c r="Q460" t="s">
        <v>40</v>
      </c>
      <c r="R460" t="s">
        <v>90</v>
      </c>
      <c r="S460" t="s">
        <v>42</v>
      </c>
      <c r="T460" s="3">
        <v>10530</v>
      </c>
    </row>
    <row r="461" spans="16:20" x14ac:dyDescent="0.2">
      <c r="P461" t="s">
        <v>807</v>
      </c>
      <c r="Q461" t="s">
        <v>24</v>
      </c>
      <c r="R461" t="s">
        <v>97</v>
      </c>
      <c r="S461" t="s">
        <v>35</v>
      </c>
      <c r="T461" s="3">
        <v>119661</v>
      </c>
    </row>
    <row r="462" spans="16:20" x14ac:dyDescent="0.2">
      <c r="P462" t="s">
        <v>808</v>
      </c>
      <c r="Q462" t="s">
        <v>129</v>
      </c>
      <c r="R462" t="s">
        <v>165</v>
      </c>
      <c r="S462" t="s">
        <v>35</v>
      </c>
      <c r="T462" s="3">
        <v>213456</v>
      </c>
    </row>
    <row r="463" spans="16:20" x14ac:dyDescent="0.2">
      <c r="P463" t="s">
        <v>809</v>
      </c>
      <c r="Q463" t="s">
        <v>72</v>
      </c>
      <c r="R463" t="s">
        <v>79</v>
      </c>
      <c r="S463" t="s">
        <v>26</v>
      </c>
      <c r="T463" s="3">
        <v>15905</v>
      </c>
    </row>
    <row r="464" spans="16:20" x14ac:dyDescent="0.2">
      <c r="P464" t="s">
        <v>811</v>
      </c>
      <c r="Q464" t="s">
        <v>78</v>
      </c>
      <c r="R464" t="s">
        <v>46</v>
      </c>
      <c r="S464" t="s">
        <v>42</v>
      </c>
      <c r="T464" s="3">
        <v>4860</v>
      </c>
    </row>
    <row r="465" spans="16:20" x14ac:dyDescent="0.2">
      <c r="P465" t="s">
        <v>812</v>
      </c>
      <c r="Q465" t="s">
        <v>103</v>
      </c>
      <c r="R465" t="s">
        <v>159</v>
      </c>
      <c r="S465" t="s">
        <v>42</v>
      </c>
      <c r="T465" s="3">
        <v>34086</v>
      </c>
    </row>
    <row r="466" spans="16:20" x14ac:dyDescent="0.2">
      <c r="P466" t="s">
        <v>813</v>
      </c>
      <c r="Q466" t="s">
        <v>129</v>
      </c>
      <c r="R466" t="s">
        <v>69</v>
      </c>
      <c r="S466" t="s">
        <v>26</v>
      </c>
      <c r="T466" s="3">
        <v>12012</v>
      </c>
    </row>
    <row r="467" spans="16:20" x14ac:dyDescent="0.2">
      <c r="P467" t="s">
        <v>814</v>
      </c>
      <c r="Q467" t="s">
        <v>179</v>
      </c>
      <c r="R467" t="s">
        <v>97</v>
      </c>
      <c r="S467" t="s">
        <v>35</v>
      </c>
      <c r="T467" s="3">
        <v>48552</v>
      </c>
    </row>
    <row r="468" spans="16:20" x14ac:dyDescent="0.2">
      <c r="P468" t="s">
        <v>815</v>
      </c>
      <c r="Q468" t="s">
        <v>40</v>
      </c>
      <c r="R468" t="s">
        <v>46</v>
      </c>
      <c r="S468" t="s">
        <v>42</v>
      </c>
      <c r="T468" s="3">
        <v>38570</v>
      </c>
    </row>
    <row r="469" spans="16:20" x14ac:dyDescent="0.2">
      <c r="P469" t="s">
        <v>816</v>
      </c>
      <c r="Q469" t="s">
        <v>179</v>
      </c>
      <c r="R469" t="s">
        <v>69</v>
      </c>
      <c r="S469" t="s">
        <v>26</v>
      </c>
      <c r="T469" s="3">
        <v>9906</v>
      </c>
    </row>
    <row r="470" spans="16:20" x14ac:dyDescent="0.2">
      <c r="P470" t="s">
        <v>817</v>
      </c>
      <c r="Q470" t="s">
        <v>72</v>
      </c>
      <c r="R470" t="s">
        <v>69</v>
      </c>
      <c r="S470" t="s">
        <v>26</v>
      </c>
      <c r="T470" s="3">
        <v>41965</v>
      </c>
    </row>
    <row r="471" spans="16:20" x14ac:dyDescent="0.2">
      <c r="P471" t="s">
        <v>818</v>
      </c>
      <c r="Q471" t="s">
        <v>45</v>
      </c>
      <c r="R471" t="s">
        <v>218</v>
      </c>
      <c r="S471" t="s">
        <v>17</v>
      </c>
      <c r="T471" s="3">
        <v>3921</v>
      </c>
    </row>
    <row r="472" spans="16:20" x14ac:dyDescent="0.2">
      <c r="P472" t="s">
        <v>819</v>
      </c>
      <c r="Q472" t="s">
        <v>24</v>
      </c>
      <c r="R472" t="s">
        <v>69</v>
      </c>
      <c r="S472" t="s">
        <v>26</v>
      </c>
      <c r="T472" s="3">
        <v>81800</v>
      </c>
    </row>
    <row r="473" spans="16:20" x14ac:dyDescent="0.2">
      <c r="P473" t="s">
        <v>820</v>
      </c>
      <c r="Q473" t="s">
        <v>33</v>
      </c>
      <c r="R473" t="s">
        <v>97</v>
      </c>
      <c r="S473" t="s">
        <v>35</v>
      </c>
      <c r="T473" s="3">
        <v>28296</v>
      </c>
    </row>
    <row r="474" spans="16:20" x14ac:dyDescent="0.2">
      <c r="P474" t="s">
        <v>821</v>
      </c>
      <c r="Q474" t="s">
        <v>103</v>
      </c>
      <c r="R474" t="s">
        <v>79</v>
      </c>
      <c r="S474" t="s">
        <v>26</v>
      </c>
      <c r="T474" s="3">
        <v>17940</v>
      </c>
    </row>
    <row r="475" spans="16:20" x14ac:dyDescent="0.2">
      <c r="P475" t="s">
        <v>822</v>
      </c>
      <c r="Q475" t="s">
        <v>68</v>
      </c>
      <c r="R475" t="s">
        <v>59</v>
      </c>
      <c r="S475" t="s">
        <v>26</v>
      </c>
      <c r="T475" s="3">
        <v>8744</v>
      </c>
    </row>
    <row r="476" spans="16:20" x14ac:dyDescent="0.2">
      <c r="P476" t="s">
        <v>823</v>
      </c>
      <c r="Q476" t="s">
        <v>72</v>
      </c>
      <c r="R476" t="s">
        <v>147</v>
      </c>
      <c r="S476" t="s">
        <v>52</v>
      </c>
      <c r="T476" s="3">
        <v>5816</v>
      </c>
    </row>
    <row r="477" spans="16:20" x14ac:dyDescent="0.2">
      <c r="P477" t="s">
        <v>824</v>
      </c>
      <c r="Q477" t="s">
        <v>133</v>
      </c>
      <c r="R477" t="s">
        <v>113</v>
      </c>
      <c r="S477" t="s">
        <v>35</v>
      </c>
      <c r="T477" s="3">
        <v>128788</v>
      </c>
    </row>
    <row r="478" spans="16:20" x14ac:dyDescent="0.2">
      <c r="P478" t="s">
        <v>826</v>
      </c>
      <c r="Q478" t="s">
        <v>103</v>
      </c>
      <c r="R478" t="s">
        <v>116</v>
      </c>
      <c r="S478" t="s">
        <v>17</v>
      </c>
      <c r="T478" s="3">
        <v>702</v>
      </c>
    </row>
    <row r="479" spans="16:20" x14ac:dyDescent="0.2">
      <c r="P479" t="s">
        <v>827</v>
      </c>
      <c r="Q479" t="s">
        <v>58</v>
      </c>
      <c r="R479" t="s">
        <v>16</v>
      </c>
      <c r="S479" t="s">
        <v>17</v>
      </c>
      <c r="T479" s="3">
        <v>6012</v>
      </c>
    </row>
    <row r="480" spans="16:20" x14ac:dyDescent="0.2">
      <c r="P480" t="s">
        <v>828</v>
      </c>
      <c r="Q480" t="s">
        <v>78</v>
      </c>
      <c r="R480" t="s">
        <v>79</v>
      </c>
      <c r="S480" t="s">
        <v>26</v>
      </c>
      <c r="T480" s="3">
        <v>7876</v>
      </c>
    </row>
    <row r="481" spans="16:20" x14ac:dyDescent="0.2">
      <c r="P481" t="s">
        <v>830</v>
      </c>
      <c r="Q481" t="s">
        <v>133</v>
      </c>
      <c r="R481" t="s">
        <v>69</v>
      </c>
      <c r="S481" t="s">
        <v>26</v>
      </c>
      <c r="T481" s="3">
        <v>21057</v>
      </c>
    </row>
    <row r="482" spans="16:20" x14ac:dyDescent="0.2">
      <c r="P482" t="s">
        <v>831</v>
      </c>
      <c r="Q482" t="s">
        <v>68</v>
      </c>
      <c r="R482" t="s">
        <v>41</v>
      </c>
      <c r="S482" t="s">
        <v>42</v>
      </c>
      <c r="T482" s="3">
        <v>15792</v>
      </c>
    </row>
    <row r="483" spans="16:20" x14ac:dyDescent="0.2">
      <c r="P483" t="s">
        <v>832</v>
      </c>
      <c r="Q483" t="s">
        <v>129</v>
      </c>
      <c r="R483" t="s">
        <v>59</v>
      </c>
      <c r="S483" t="s">
        <v>26</v>
      </c>
      <c r="T483" s="3">
        <v>31144</v>
      </c>
    </row>
    <row r="484" spans="16:20" x14ac:dyDescent="0.2">
      <c r="P484" t="s">
        <v>834</v>
      </c>
      <c r="Q484" t="s">
        <v>75</v>
      </c>
      <c r="R484" t="s">
        <v>116</v>
      </c>
      <c r="S484" t="s">
        <v>17</v>
      </c>
      <c r="T484" s="3">
        <v>1088</v>
      </c>
    </row>
    <row r="485" spans="16:20" x14ac:dyDescent="0.2">
      <c r="P485" t="s">
        <v>835</v>
      </c>
      <c r="Q485" t="s">
        <v>129</v>
      </c>
      <c r="R485" t="s">
        <v>51</v>
      </c>
      <c r="S485" t="s">
        <v>52</v>
      </c>
      <c r="T485" s="3">
        <v>9176</v>
      </c>
    </row>
    <row r="486" spans="16:20" x14ac:dyDescent="0.2">
      <c r="P486" t="s">
        <v>836</v>
      </c>
      <c r="Q486" t="s">
        <v>15</v>
      </c>
      <c r="R486" t="s">
        <v>59</v>
      </c>
      <c r="S486" t="s">
        <v>26</v>
      </c>
      <c r="T486" s="3">
        <v>71576</v>
      </c>
    </row>
    <row r="487" spans="16:20" x14ac:dyDescent="0.2">
      <c r="P487" t="s">
        <v>838</v>
      </c>
      <c r="Q487" t="s">
        <v>112</v>
      </c>
      <c r="R487" t="s">
        <v>41</v>
      </c>
      <c r="S487" t="s">
        <v>42</v>
      </c>
      <c r="T487" s="3">
        <v>22260</v>
      </c>
    </row>
    <row r="488" spans="16:20" x14ac:dyDescent="0.2">
      <c r="P488" t="s">
        <v>839</v>
      </c>
      <c r="Q488" t="s">
        <v>133</v>
      </c>
      <c r="R488" t="s">
        <v>97</v>
      </c>
      <c r="S488" t="s">
        <v>35</v>
      </c>
      <c r="T488" s="3">
        <v>366740</v>
      </c>
    </row>
    <row r="489" spans="16:20" x14ac:dyDescent="0.2">
      <c r="P489" t="s">
        <v>840</v>
      </c>
      <c r="Q489" t="s">
        <v>24</v>
      </c>
      <c r="R489" t="s">
        <v>97</v>
      </c>
      <c r="S489" t="s">
        <v>35</v>
      </c>
      <c r="T489" s="3">
        <v>205456</v>
      </c>
    </row>
    <row r="490" spans="16:20" x14ac:dyDescent="0.2">
      <c r="P490" t="s">
        <v>842</v>
      </c>
      <c r="Q490" t="s">
        <v>112</v>
      </c>
      <c r="R490" t="s">
        <v>97</v>
      </c>
      <c r="S490" t="s">
        <v>35</v>
      </c>
      <c r="T490" s="3">
        <v>150170</v>
      </c>
    </row>
    <row r="491" spans="16:20" x14ac:dyDescent="0.2">
      <c r="P491" t="s">
        <v>844</v>
      </c>
      <c r="Q491" t="s">
        <v>129</v>
      </c>
      <c r="R491" t="s">
        <v>90</v>
      </c>
      <c r="S491" t="s">
        <v>42</v>
      </c>
      <c r="T491" s="3">
        <v>5580</v>
      </c>
    </row>
    <row r="492" spans="16:20" x14ac:dyDescent="0.2">
      <c r="P492" t="s">
        <v>845</v>
      </c>
      <c r="Q492" t="s">
        <v>40</v>
      </c>
      <c r="R492" t="s">
        <v>41</v>
      </c>
      <c r="S492" t="s">
        <v>42</v>
      </c>
      <c r="T492" s="3">
        <v>6972</v>
      </c>
    </row>
    <row r="493" spans="16:20" x14ac:dyDescent="0.2">
      <c r="P493" t="s">
        <v>847</v>
      </c>
      <c r="Q493" t="s">
        <v>58</v>
      </c>
      <c r="R493" t="s">
        <v>113</v>
      </c>
      <c r="S493" t="s">
        <v>35</v>
      </c>
      <c r="T493" s="3">
        <v>135732</v>
      </c>
    </row>
    <row r="494" spans="16:20" x14ac:dyDescent="0.2">
      <c r="P494" t="s">
        <v>848</v>
      </c>
      <c r="Q494" t="s">
        <v>68</v>
      </c>
      <c r="R494" t="s">
        <v>116</v>
      </c>
      <c r="S494" t="s">
        <v>17</v>
      </c>
      <c r="T494" s="3">
        <v>948</v>
      </c>
    </row>
    <row r="495" spans="16:20" x14ac:dyDescent="0.2">
      <c r="P495" t="s">
        <v>849</v>
      </c>
      <c r="Q495" t="s">
        <v>78</v>
      </c>
      <c r="R495" t="s">
        <v>46</v>
      </c>
      <c r="S495" t="s">
        <v>42</v>
      </c>
      <c r="T495" s="3">
        <v>23855</v>
      </c>
    </row>
    <row r="496" spans="16:20" x14ac:dyDescent="0.2">
      <c r="P496" t="s">
        <v>850</v>
      </c>
      <c r="Q496" t="s">
        <v>58</v>
      </c>
      <c r="R496" t="s">
        <v>218</v>
      </c>
      <c r="S496" t="s">
        <v>17</v>
      </c>
      <c r="T496" s="3">
        <v>5334</v>
      </c>
    </row>
    <row r="497" spans="16:20" x14ac:dyDescent="0.2">
      <c r="P497" t="s">
        <v>851</v>
      </c>
      <c r="Q497" t="s">
        <v>103</v>
      </c>
      <c r="R497" t="s">
        <v>109</v>
      </c>
      <c r="S497" t="s">
        <v>52</v>
      </c>
      <c r="T497" s="3">
        <v>7390</v>
      </c>
    </row>
    <row r="498" spans="16:20" x14ac:dyDescent="0.2">
      <c r="P498" t="s">
        <v>852</v>
      </c>
      <c r="Q498" t="s">
        <v>58</v>
      </c>
      <c r="R498" t="s">
        <v>86</v>
      </c>
      <c r="S498" t="s">
        <v>17</v>
      </c>
      <c r="T498" s="3">
        <v>5888</v>
      </c>
    </row>
    <row r="499" spans="16:20" x14ac:dyDescent="0.2">
      <c r="P499" t="s">
        <v>853</v>
      </c>
      <c r="Q499" t="s">
        <v>179</v>
      </c>
      <c r="R499" t="s">
        <v>97</v>
      </c>
      <c r="S499" t="s">
        <v>35</v>
      </c>
      <c r="T499" s="3">
        <v>238268</v>
      </c>
    </row>
    <row r="500" spans="16:20" x14ac:dyDescent="0.2">
      <c r="P500" t="s">
        <v>854</v>
      </c>
      <c r="Q500" t="s">
        <v>146</v>
      </c>
      <c r="R500" t="s">
        <v>109</v>
      </c>
      <c r="S500" t="s">
        <v>52</v>
      </c>
      <c r="T500" s="3">
        <v>4904</v>
      </c>
    </row>
    <row r="501" spans="16:20" x14ac:dyDescent="0.2">
      <c r="P501" t="s">
        <v>855</v>
      </c>
      <c r="Q501" t="s">
        <v>125</v>
      </c>
      <c r="R501" t="s">
        <v>86</v>
      </c>
      <c r="S501" t="s">
        <v>17</v>
      </c>
      <c r="T501" s="3">
        <v>2895</v>
      </c>
    </row>
    <row r="502" spans="16:20" x14ac:dyDescent="0.2">
      <c r="P502" t="s">
        <v>856</v>
      </c>
      <c r="Q502" t="s">
        <v>112</v>
      </c>
      <c r="R502" t="s">
        <v>165</v>
      </c>
      <c r="S502" t="s">
        <v>35</v>
      </c>
      <c r="T502" s="3">
        <v>28672</v>
      </c>
    </row>
    <row r="503" spans="16:20" x14ac:dyDescent="0.2">
      <c r="P503" t="s">
        <v>857</v>
      </c>
      <c r="Q503" t="s">
        <v>72</v>
      </c>
      <c r="R503" t="s">
        <v>86</v>
      </c>
      <c r="S503" t="s">
        <v>17</v>
      </c>
      <c r="T503" s="3">
        <v>1882</v>
      </c>
    </row>
    <row r="504" spans="16:20" x14ac:dyDescent="0.2">
      <c r="P504" t="s">
        <v>858</v>
      </c>
      <c r="Q504" t="s">
        <v>170</v>
      </c>
      <c r="R504" t="s">
        <v>97</v>
      </c>
      <c r="S504" t="s">
        <v>35</v>
      </c>
      <c r="T504" s="3">
        <v>333860</v>
      </c>
    </row>
    <row r="505" spans="16:20" x14ac:dyDescent="0.2">
      <c r="P505" t="s">
        <v>861</v>
      </c>
      <c r="T505" s="3">
        <v>23006417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CD63B-56DA-4B8D-B367-AEEFF7281DB6}">
  <dimension ref="A1:M501"/>
  <sheetViews>
    <sheetView zoomScale="112" workbookViewId="0">
      <selection activeCell="C3" sqref="C3"/>
    </sheetView>
  </sheetViews>
  <sheetFormatPr baseColWidth="10" defaultColWidth="8.83203125" defaultRowHeight="15" x14ac:dyDescent="0.2"/>
  <cols>
    <col min="1" max="1" width="10" customWidth="1"/>
    <col min="2" max="2" width="10.33203125" bestFit="1" customWidth="1"/>
    <col min="3" max="3" width="16.5" customWidth="1"/>
    <col min="4" max="4" width="15.5" bestFit="1" customWidth="1"/>
    <col min="5" max="5" width="10" bestFit="1" customWidth="1"/>
    <col min="6" max="6" width="11.1640625" bestFit="1" customWidth="1"/>
    <col min="7" max="7" width="10.33203125" bestFit="1" customWidth="1"/>
    <col min="8" max="8" width="16.6640625" customWidth="1"/>
    <col min="9" max="9" width="7.1640625" customWidth="1"/>
    <col min="10" max="10" width="9.5" customWidth="1"/>
    <col min="11" max="11" width="7.83203125" customWidth="1"/>
    <col min="12" max="12" width="9.1640625" customWidth="1"/>
    <col min="13" max="13" width="7.8320312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t="s">
        <v>13</v>
      </c>
      <c r="B2" t="s">
        <v>14</v>
      </c>
      <c r="C2" t="s">
        <v>15</v>
      </c>
      <c r="D2" t="s">
        <v>16</v>
      </c>
      <c r="E2" t="s">
        <v>17</v>
      </c>
      <c r="F2" t="s">
        <v>18</v>
      </c>
      <c r="G2" t="s">
        <v>19</v>
      </c>
      <c r="H2" t="s">
        <v>20</v>
      </c>
      <c r="I2">
        <v>3028</v>
      </c>
      <c r="J2">
        <v>4</v>
      </c>
      <c r="K2">
        <v>4.3</v>
      </c>
      <c r="L2">
        <v>1</v>
      </c>
      <c r="M2" t="s">
        <v>21</v>
      </c>
    </row>
    <row r="3" spans="1:13" x14ac:dyDescent="0.2">
      <c r="A3" t="s">
        <v>22</v>
      </c>
      <c r="B3" t="s">
        <v>23</v>
      </c>
      <c r="C3" t="s">
        <v>24</v>
      </c>
      <c r="D3" t="s">
        <v>25</v>
      </c>
      <c r="E3" t="s">
        <v>26</v>
      </c>
      <c r="F3" t="s">
        <v>27</v>
      </c>
      <c r="G3" t="s">
        <v>28</v>
      </c>
      <c r="H3" t="s">
        <v>29</v>
      </c>
      <c r="I3">
        <v>32636</v>
      </c>
      <c r="J3">
        <v>4</v>
      </c>
      <c r="K3">
        <v>4.3</v>
      </c>
      <c r="L3">
        <v>1</v>
      </c>
      <c r="M3" t="s">
        <v>30</v>
      </c>
    </row>
    <row r="4" spans="1:13" x14ac:dyDescent="0.2">
      <c r="A4" t="s">
        <v>31</v>
      </c>
      <c r="B4" t="s">
        <v>32</v>
      </c>
      <c r="C4" t="s">
        <v>33</v>
      </c>
      <c r="D4" t="s">
        <v>34</v>
      </c>
      <c r="E4" t="s">
        <v>35</v>
      </c>
      <c r="F4" t="s">
        <v>27</v>
      </c>
      <c r="G4" t="s">
        <v>28</v>
      </c>
      <c r="H4" t="s">
        <v>36</v>
      </c>
      <c r="I4">
        <v>313782</v>
      </c>
      <c r="J4">
        <v>6</v>
      </c>
      <c r="K4">
        <v>4.7</v>
      </c>
      <c r="L4">
        <v>5</v>
      </c>
      <c r="M4" t="s">
        <v>37</v>
      </c>
    </row>
    <row r="5" spans="1:13" x14ac:dyDescent="0.2">
      <c r="A5" t="s">
        <v>38</v>
      </c>
      <c r="B5" t="s">
        <v>39</v>
      </c>
      <c r="C5" t="s">
        <v>40</v>
      </c>
      <c r="D5" t="s">
        <v>41</v>
      </c>
      <c r="E5" t="s">
        <v>42</v>
      </c>
      <c r="F5" t="s">
        <v>18</v>
      </c>
      <c r="G5" t="s">
        <v>19</v>
      </c>
      <c r="H5" t="s">
        <v>36</v>
      </c>
      <c r="I5">
        <v>11375</v>
      </c>
      <c r="J5">
        <v>5</v>
      </c>
      <c r="K5">
        <v>3.3</v>
      </c>
      <c r="L5">
        <v>4</v>
      </c>
      <c r="M5" t="s">
        <v>30</v>
      </c>
    </row>
    <row r="6" spans="1:13" x14ac:dyDescent="0.2">
      <c r="A6" t="s">
        <v>43</v>
      </c>
      <c r="B6" t="s">
        <v>44</v>
      </c>
      <c r="C6" t="s">
        <v>45</v>
      </c>
      <c r="D6" t="s">
        <v>46</v>
      </c>
      <c r="E6" t="s">
        <v>42</v>
      </c>
      <c r="F6" t="s">
        <v>27</v>
      </c>
      <c r="G6" t="s">
        <v>19</v>
      </c>
      <c r="H6" t="s">
        <v>20</v>
      </c>
      <c r="I6">
        <v>14496</v>
      </c>
      <c r="J6">
        <v>6</v>
      </c>
      <c r="K6">
        <v>3.7</v>
      </c>
      <c r="L6">
        <v>2</v>
      </c>
      <c r="M6" t="s">
        <v>47</v>
      </c>
    </row>
    <row r="7" spans="1:13" x14ac:dyDescent="0.2">
      <c r="A7" t="s">
        <v>48</v>
      </c>
      <c r="B7" t="s">
        <v>49</v>
      </c>
      <c r="C7" t="s">
        <v>50</v>
      </c>
      <c r="D7" t="s">
        <v>51</v>
      </c>
      <c r="E7" t="s">
        <v>52</v>
      </c>
      <c r="F7" t="s">
        <v>53</v>
      </c>
      <c r="G7" t="s">
        <v>54</v>
      </c>
      <c r="H7" t="s">
        <v>20</v>
      </c>
      <c r="I7">
        <v>5745</v>
      </c>
      <c r="J7">
        <v>5</v>
      </c>
      <c r="K7">
        <v>4.7</v>
      </c>
      <c r="L7">
        <v>6</v>
      </c>
      <c r="M7" t="s">
        <v>55</v>
      </c>
    </row>
    <row r="8" spans="1:13" x14ac:dyDescent="0.2">
      <c r="A8" t="s">
        <v>56</v>
      </c>
      <c r="B8" t="s">
        <v>57</v>
      </c>
      <c r="C8" t="s">
        <v>58</v>
      </c>
      <c r="D8" t="s">
        <v>59</v>
      </c>
      <c r="E8" t="s">
        <v>26</v>
      </c>
      <c r="F8" t="s">
        <v>60</v>
      </c>
      <c r="G8" t="s">
        <v>28</v>
      </c>
      <c r="H8" t="s">
        <v>29</v>
      </c>
      <c r="I8">
        <v>24696</v>
      </c>
      <c r="J8">
        <v>8</v>
      </c>
      <c r="K8">
        <v>3.6</v>
      </c>
      <c r="L8">
        <v>5</v>
      </c>
      <c r="M8" t="s">
        <v>37</v>
      </c>
    </row>
    <row r="9" spans="1:13" x14ac:dyDescent="0.2">
      <c r="A9" t="s">
        <v>61</v>
      </c>
      <c r="B9" t="s">
        <v>62</v>
      </c>
      <c r="C9" t="s">
        <v>45</v>
      </c>
      <c r="D9" t="s">
        <v>63</v>
      </c>
      <c r="E9" t="s">
        <v>52</v>
      </c>
      <c r="F9" t="s">
        <v>18</v>
      </c>
      <c r="G9" t="s">
        <v>28</v>
      </c>
      <c r="H9" t="s">
        <v>64</v>
      </c>
      <c r="I9">
        <v>3536</v>
      </c>
      <c r="J9">
        <v>8</v>
      </c>
      <c r="K9">
        <v>3.5</v>
      </c>
      <c r="L9">
        <v>7</v>
      </c>
      <c r="M9" t="s">
        <v>65</v>
      </c>
    </row>
    <row r="10" spans="1:13" x14ac:dyDescent="0.2">
      <c r="A10" t="s">
        <v>66</v>
      </c>
      <c r="B10" t="s">
        <v>67</v>
      </c>
      <c r="C10" t="s">
        <v>68</v>
      </c>
      <c r="D10" t="s">
        <v>69</v>
      </c>
      <c r="E10" t="s">
        <v>26</v>
      </c>
      <c r="F10" t="s">
        <v>53</v>
      </c>
      <c r="G10" t="s">
        <v>28</v>
      </c>
      <c r="H10" t="s">
        <v>20</v>
      </c>
      <c r="I10">
        <v>25855</v>
      </c>
      <c r="J10">
        <v>5</v>
      </c>
      <c r="K10">
        <v>4.5999999999999996</v>
      </c>
      <c r="L10">
        <v>6</v>
      </c>
      <c r="M10" t="s">
        <v>65</v>
      </c>
    </row>
    <row r="11" spans="1:13" x14ac:dyDescent="0.2">
      <c r="A11" t="s">
        <v>70</v>
      </c>
      <c r="B11" t="s">
        <v>71</v>
      </c>
      <c r="C11" t="s">
        <v>72</v>
      </c>
      <c r="D11" t="s">
        <v>41</v>
      </c>
      <c r="E11" t="s">
        <v>42</v>
      </c>
      <c r="F11" t="s">
        <v>53</v>
      </c>
      <c r="G11" t="s">
        <v>19</v>
      </c>
      <c r="H11" t="s">
        <v>36</v>
      </c>
      <c r="I11">
        <v>9432</v>
      </c>
      <c r="J11">
        <v>3</v>
      </c>
      <c r="K11">
        <v>4.0999999999999996</v>
      </c>
      <c r="L11">
        <v>4</v>
      </c>
      <c r="M11" t="s">
        <v>21</v>
      </c>
    </row>
    <row r="12" spans="1:13" x14ac:dyDescent="0.2">
      <c r="A12" t="s">
        <v>73</v>
      </c>
      <c r="B12" t="s">
        <v>74</v>
      </c>
      <c r="C12" t="s">
        <v>75</v>
      </c>
      <c r="D12" t="s">
        <v>59</v>
      </c>
      <c r="E12" t="s">
        <v>26</v>
      </c>
      <c r="F12" t="s">
        <v>27</v>
      </c>
      <c r="G12" t="s">
        <v>28</v>
      </c>
      <c r="H12" t="s">
        <v>36</v>
      </c>
      <c r="I12">
        <v>1749</v>
      </c>
      <c r="J12">
        <v>1</v>
      </c>
      <c r="K12">
        <v>3.6</v>
      </c>
      <c r="L12">
        <v>2</v>
      </c>
      <c r="M12" t="s">
        <v>65</v>
      </c>
    </row>
    <row r="13" spans="1:13" x14ac:dyDescent="0.2">
      <c r="A13" t="s">
        <v>76</v>
      </c>
      <c r="B13" t="s">
        <v>77</v>
      </c>
      <c r="C13" t="s">
        <v>78</v>
      </c>
      <c r="D13" t="s">
        <v>79</v>
      </c>
      <c r="E13" t="s">
        <v>26</v>
      </c>
      <c r="F13" t="s">
        <v>27</v>
      </c>
      <c r="G13" t="s">
        <v>19</v>
      </c>
      <c r="H13" t="s">
        <v>29</v>
      </c>
      <c r="I13">
        <v>85904</v>
      </c>
      <c r="J13">
        <v>8</v>
      </c>
      <c r="K13">
        <v>4</v>
      </c>
      <c r="L13">
        <v>4</v>
      </c>
      <c r="M13" t="s">
        <v>80</v>
      </c>
    </row>
    <row r="14" spans="1:13" x14ac:dyDescent="0.2">
      <c r="A14" t="s">
        <v>81</v>
      </c>
      <c r="B14" t="s">
        <v>82</v>
      </c>
      <c r="C14" t="s">
        <v>58</v>
      </c>
      <c r="D14" t="s">
        <v>46</v>
      </c>
      <c r="E14" t="s">
        <v>42</v>
      </c>
      <c r="F14" t="s">
        <v>83</v>
      </c>
      <c r="G14" t="s">
        <v>54</v>
      </c>
      <c r="H14" t="s">
        <v>36</v>
      </c>
      <c r="I14">
        <v>9792</v>
      </c>
      <c r="J14">
        <v>8</v>
      </c>
      <c r="K14">
        <v>3.2</v>
      </c>
      <c r="L14">
        <v>4</v>
      </c>
      <c r="M14" t="s">
        <v>47</v>
      </c>
    </row>
    <row r="15" spans="1:13" x14ac:dyDescent="0.2">
      <c r="A15" t="s">
        <v>84</v>
      </c>
      <c r="B15" t="s">
        <v>85</v>
      </c>
      <c r="C15" t="s">
        <v>78</v>
      </c>
      <c r="D15" t="s">
        <v>86</v>
      </c>
      <c r="E15" t="s">
        <v>17</v>
      </c>
      <c r="F15" t="s">
        <v>83</v>
      </c>
      <c r="G15" t="s">
        <v>28</v>
      </c>
      <c r="H15" t="s">
        <v>20</v>
      </c>
      <c r="I15">
        <v>976</v>
      </c>
      <c r="J15">
        <v>1</v>
      </c>
      <c r="K15">
        <v>4.4000000000000004</v>
      </c>
      <c r="L15">
        <v>4</v>
      </c>
      <c r="M15" t="s">
        <v>87</v>
      </c>
    </row>
    <row r="16" spans="1:13" x14ac:dyDescent="0.2">
      <c r="A16" t="s">
        <v>88</v>
      </c>
      <c r="B16" t="s">
        <v>89</v>
      </c>
      <c r="C16" t="s">
        <v>68</v>
      </c>
      <c r="D16" t="s">
        <v>90</v>
      </c>
      <c r="E16" t="s">
        <v>42</v>
      </c>
      <c r="F16" t="s">
        <v>18</v>
      </c>
      <c r="G16" t="s">
        <v>28</v>
      </c>
      <c r="H16" t="s">
        <v>29</v>
      </c>
      <c r="I16">
        <v>8338</v>
      </c>
      <c r="J16">
        <v>2</v>
      </c>
      <c r="K16">
        <v>4</v>
      </c>
      <c r="L16">
        <v>1</v>
      </c>
      <c r="M16" t="s">
        <v>37</v>
      </c>
    </row>
    <row r="17" spans="1:13" x14ac:dyDescent="0.2">
      <c r="A17" t="s">
        <v>91</v>
      </c>
      <c r="B17" t="s">
        <v>92</v>
      </c>
      <c r="C17" t="s">
        <v>75</v>
      </c>
      <c r="D17" t="s">
        <v>86</v>
      </c>
      <c r="E17" t="s">
        <v>17</v>
      </c>
      <c r="F17" t="s">
        <v>60</v>
      </c>
      <c r="G17" t="s">
        <v>54</v>
      </c>
      <c r="H17" t="s">
        <v>36</v>
      </c>
      <c r="I17">
        <v>5592</v>
      </c>
      <c r="J17">
        <v>4</v>
      </c>
      <c r="K17">
        <v>3.7</v>
      </c>
      <c r="L17">
        <v>4</v>
      </c>
      <c r="M17" t="s">
        <v>37</v>
      </c>
    </row>
    <row r="18" spans="1:13" x14ac:dyDescent="0.2">
      <c r="A18" t="s">
        <v>93</v>
      </c>
      <c r="B18" t="s">
        <v>94</v>
      </c>
      <c r="C18" t="s">
        <v>24</v>
      </c>
      <c r="D18" t="s">
        <v>25</v>
      </c>
      <c r="E18" t="s">
        <v>26</v>
      </c>
      <c r="F18" t="s">
        <v>60</v>
      </c>
      <c r="G18" t="s">
        <v>54</v>
      </c>
      <c r="H18" t="s">
        <v>64</v>
      </c>
      <c r="I18">
        <v>17208</v>
      </c>
      <c r="J18">
        <v>4</v>
      </c>
      <c r="K18">
        <v>4.8</v>
      </c>
      <c r="L18">
        <v>1</v>
      </c>
      <c r="M18" t="s">
        <v>87</v>
      </c>
    </row>
    <row r="19" spans="1:13" x14ac:dyDescent="0.2">
      <c r="A19" t="s">
        <v>95</v>
      </c>
      <c r="B19" t="s">
        <v>96</v>
      </c>
      <c r="C19" t="s">
        <v>58</v>
      </c>
      <c r="D19" t="s">
        <v>97</v>
      </c>
      <c r="E19" t="s">
        <v>35</v>
      </c>
      <c r="F19" t="s">
        <v>27</v>
      </c>
      <c r="G19" t="s">
        <v>54</v>
      </c>
      <c r="H19" t="s">
        <v>29</v>
      </c>
      <c r="I19">
        <v>159523</v>
      </c>
      <c r="J19">
        <v>7</v>
      </c>
      <c r="K19">
        <v>3.6</v>
      </c>
      <c r="L19">
        <v>1</v>
      </c>
      <c r="M19" t="s">
        <v>21</v>
      </c>
    </row>
    <row r="20" spans="1:13" x14ac:dyDescent="0.2">
      <c r="A20" t="s">
        <v>98</v>
      </c>
      <c r="B20" t="s">
        <v>99</v>
      </c>
      <c r="C20" t="s">
        <v>75</v>
      </c>
      <c r="D20" t="s">
        <v>16</v>
      </c>
      <c r="E20" t="s">
        <v>17</v>
      </c>
      <c r="F20" t="s">
        <v>100</v>
      </c>
      <c r="G20" t="s">
        <v>54</v>
      </c>
      <c r="H20" t="s">
        <v>20</v>
      </c>
      <c r="I20">
        <v>10632</v>
      </c>
      <c r="J20">
        <v>8</v>
      </c>
      <c r="K20">
        <v>3.3</v>
      </c>
      <c r="L20">
        <v>3</v>
      </c>
      <c r="M20" t="s">
        <v>30</v>
      </c>
    </row>
    <row r="21" spans="1:13" x14ac:dyDescent="0.2">
      <c r="A21" t="s">
        <v>101</v>
      </c>
      <c r="B21" t="s">
        <v>102</v>
      </c>
      <c r="C21" t="s">
        <v>103</v>
      </c>
      <c r="D21" t="s">
        <v>41</v>
      </c>
      <c r="E21" t="s">
        <v>42</v>
      </c>
      <c r="F21" t="s">
        <v>100</v>
      </c>
      <c r="G21" t="s">
        <v>104</v>
      </c>
      <c r="H21" t="s">
        <v>20</v>
      </c>
      <c r="I21">
        <v>5484</v>
      </c>
      <c r="J21">
        <v>4</v>
      </c>
      <c r="K21">
        <v>4.4000000000000004</v>
      </c>
      <c r="L21">
        <v>6</v>
      </c>
      <c r="M21" t="s">
        <v>30</v>
      </c>
    </row>
    <row r="22" spans="1:13" x14ac:dyDescent="0.2">
      <c r="A22" t="s">
        <v>105</v>
      </c>
      <c r="B22" t="s">
        <v>106</v>
      </c>
      <c r="C22" t="s">
        <v>75</v>
      </c>
      <c r="D22" t="s">
        <v>97</v>
      </c>
      <c r="E22" t="s">
        <v>35</v>
      </c>
      <c r="F22" t="s">
        <v>100</v>
      </c>
      <c r="G22" t="s">
        <v>19</v>
      </c>
      <c r="H22" t="s">
        <v>29</v>
      </c>
      <c r="I22">
        <v>60040</v>
      </c>
      <c r="J22">
        <v>5</v>
      </c>
      <c r="K22">
        <v>4.3</v>
      </c>
      <c r="L22">
        <v>2</v>
      </c>
      <c r="M22" t="s">
        <v>80</v>
      </c>
    </row>
    <row r="23" spans="1:13" x14ac:dyDescent="0.2">
      <c r="A23" t="s">
        <v>107</v>
      </c>
      <c r="B23" t="s">
        <v>108</v>
      </c>
      <c r="C23" t="s">
        <v>78</v>
      </c>
      <c r="D23" t="s">
        <v>109</v>
      </c>
      <c r="E23" t="s">
        <v>52</v>
      </c>
      <c r="F23" t="s">
        <v>53</v>
      </c>
      <c r="G23" t="s">
        <v>54</v>
      </c>
      <c r="H23" t="s">
        <v>20</v>
      </c>
      <c r="I23">
        <v>5668</v>
      </c>
      <c r="J23">
        <v>4</v>
      </c>
      <c r="K23">
        <v>4.5</v>
      </c>
      <c r="L23">
        <v>1</v>
      </c>
      <c r="M23" t="s">
        <v>87</v>
      </c>
    </row>
    <row r="24" spans="1:13" x14ac:dyDescent="0.2">
      <c r="A24" t="s">
        <v>110</v>
      </c>
      <c r="B24" t="s">
        <v>111</v>
      </c>
      <c r="C24" t="s">
        <v>112</v>
      </c>
      <c r="D24" t="s">
        <v>113</v>
      </c>
      <c r="E24" t="s">
        <v>35</v>
      </c>
      <c r="F24" t="s">
        <v>60</v>
      </c>
      <c r="G24" t="s">
        <v>104</v>
      </c>
      <c r="H24" t="s">
        <v>36</v>
      </c>
      <c r="I24">
        <v>245328</v>
      </c>
      <c r="J24">
        <v>3</v>
      </c>
      <c r="K24">
        <v>3.6</v>
      </c>
      <c r="L24">
        <v>5</v>
      </c>
      <c r="M24" t="s">
        <v>87</v>
      </c>
    </row>
    <row r="25" spans="1:13" x14ac:dyDescent="0.2">
      <c r="A25" t="s">
        <v>114</v>
      </c>
      <c r="B25" t="s">
        <v>115</v>
      </c>
      <c r="C25" t="s">
        <v>78</v>
      </c>
      <c r="D25" t="s">
        <v>116</v>
      </c>
      <c r="E25" t="s">
        <v>17</v>
      </c>
      <c r="F25" t="s">
        <v>27</v>
      </c>
      <c r="G25" t="s">
        <v>28</v>
      </c>
      <c r="H25" t="s">
        <v>36</v>
      </c>
      <c r="I25">
        <v>307</v>
      </c>
      <c r="J25">
        <v>1</v>
      </c>
      <c r="K25">
        <v>3.5</v>
      </c>
      <c r="L25">
        <v>8</v>
      </c>
      <c r="M25" t="s">
        <v>21</v>
      </c>
    </row>
    <row r="26" spans="1:13" x14ac:dyDescent="0.2">
      <c r="A26" t="s">
        <v>117</v>
      </c>
      <c r="B26" t="s">
        <v>118</v>
      </c>
      <c r="C26" t="s">
        <v>33</v>
      </c>
      <c r="D26" t="s">
        <v>16</v>
      </c>
      <c r="E26" t="s">
        <v>17</v>
      </c>
      <c r="F26" t="s">
        <v>53</v>
      </c>
      <c r="G26" t="s">
        <v>104</v>
      </c>
      <c r="H26" t="s">
        <v>36</v>
      </c>
      <c r="I26">
        <v>4251</v>
      </c>
      <c r="J26">
        <v>3</v>
      </c>
      <c r="K26">
        <v>3.5</v>
      </c>
      <c r="L26">
        <v>3</v>
      </c>
      <c r="M26" t="s">
        <v>119</v>
      </c>
    </row>
    <row r="27" spans="1:13" x14ac:dyDescent="0.2">
      <c r="A27" t="s">
        <v>120</v>
      </c>
      <c r="B27" t="s">
        <v>121</v>
      </c>
      <c r="C27" t="s">
        <v>122</v>
      </c>
      <c r="D27" t="s">
        <v>34</v>
      </c>
      <c r="E27" t="s">
        <v>35</v>
      </c>
      <c r="F27" t="s">
        <v>83</v>
      </c>
      <c r="G27" t="s">
        <v>19</v>
      </c>
      <c r="H27" t="s">
        <v>64</v>
      </c>
      <c r="I27">
        <v>195428</v>
      </c>
      <c r="J27">
        <v>4</v>
      </c>
      <c r="K27">
        <v>5</v>
      </c>
      <c r="L27">
        <v>3</v>
      </c>
      <c r="M27" t="s">
        <v>119</v>
      </c>
    </row>
    <row r="28" spans="1:13" x14ac:dyDescent="0.2">
      <c r="A28" t="s">
        <v>123</v>
      </c>
      <c r="B28" t="s">
        <v>124</v>
      </c>
      <c r="C28" t="s">
        <v>125</v>
      </c>
      <c r="D28" t="s">
        <v>86</v>
      </c>
      <c r="E28" t="s">
        <v>17</v>
      </c>
      <c r="F28" t="s">
        <v>83</v>
      </c>
      <c r="G28" t="s">
        <v>19</v>
      </c>
      <c r="H28" t="s">
        <v>64</v>
      </c>
      <c r="I28">
        <v>11697</v>
      </c>
      <c r="J28">
        <v>7</v>
      </c>
      <c r="K28">
        <v>3.9</v>
      </c>
      <c r="L28">
        <v>1</v>
      </c>
      <c r="M28" t="s">
        <v>126</v>
      </c>
    </row>
    <row r="29" spans="1:13" x14ac:dyDescent="0.2">
      <c r="A29" t="s">
        <v>127</v>
      </c>
      <c r="B29" t="s">
        <v>128</v>
      </c>
      <c r="C29" t="s">
        <v>129</v>
      </c>
      <c r="D29" t="s">
        <v>130</v>
      </c>
      <c r="E29" t="s">
        <v>35</v>
      </c>
      <c r="F29" t="s">
        <v>27</v>
      </c>
      <c r="G29" t="s">
        <v>28</v>
      </c>
      <c r="H29" t="s">
        <v>29</v>
      </c>
      <c r="I29">
        <v>218908</v>
      </c>
      <c r="J29">
        <v>4</v>
      </c>
      <c r="K29">
        <v>4.8</v>
      </c>
      <c r="L29">
        <v>5</v>
      </c>
      <c r="M29" t="s">
        <v>37</v>
      </c>
    </row>
    <row r="30" spans="1:13" x14ac:dyDescent="0.2">
      <c r="A30" t="s">
        <v>131</v>
      </c>
      <c r="B30" t="s">
        <v>132</v>
      </c>
      <c r="C30" t="s">
        <v>133</v>
      </c>
      <c r="D30" t="s">
        <v>16</v>
      </c>
      <c r="E30" t="s">
        <v>17</v>
      </c>
      <c r="F30" t="s">
        <v>100</v>
      </c>
      <c r="G30" t="s">
        <v>54</v>
      </c>
      <c r="H30" t="s">
        <v>64</v>
      </c>
      <c r="I30">
        <v>4467</v>
      </c>
      <c r="J30">
        <v>3</v>
      </c>
      <c r="K30">
        <v>4</v>
      </c>
      <c r="L30">
        <v>6</v>
      </c>
      <c r="M30" t="s">
        <v>21</v>
      </c>
    </row>
    <row r="31" spans="1:13" x14ac:dyDescent="0.2">
      <c r="A31" t="s">
        <v>134</v>
      </c>
      <c r="B31" t="s">
        <v>135</v>
      </c>
      <c r="C31" t="s">
        <v>129</v>
      </c>
      <c r="D31" t="s">
        <v>79</v>
      </c>
      <c r="E31" t="s">
        <v>26</v>
      </c>
      <c r="F31" t="s">
        <v>60</v>
      </c>
      <c r="G31" t="s">
        <v>54</v>
      </c>
      <c r="H31" t="s">
        <v>29</v>
      </c>
      <c r="I31">
        <v>9621</v>
      </c>
      <c r="J31">
        <v>1</v>
      </c>
      <c r="K31">
        <v>4.4000000000000004</v>
      </c>
      <c r="L31">
        <v>4</v>
      </c>
      <c r="M31" t="s">
        <v>21</v>
      </c>
    </row>
    <row r="32" spans="1:13" x14ac:dyDescent="0.2">
      <c r="A32" t="s">
        <v>136</v>
      </c>
      <c r="B32" t="s">
        <v>137</v>
      </c>
      <c r="C32" t="s">
        <v>40</v>
      </c>
      <c r="D32" t="s">
        <v>59</v>
      </c>
      <c r="E32" t="s">
        <v>26</v>
      </c>
      <c r="F32" t="s">
        <v>100</v>
      </c>
      <c r="G32" t="s">
        <v>19</v>
      </c>
      <c r="H32" t="s">
        <v>20</v>
      </c>
      <c r="I32">
        <v>23452</v>
      </c>
      <c r="J32">
        <v>2</v>
      </c>
      <c r="K32">
        <v>3.9</v>
      </c>
      <c r="L32">
        <v>7</v>
      </c>
      <c r="M32" t="s">
        <v>119</v>
      </c>
    </row>
    <row r="33" spans="1:13" x14ac:dyDescent="0.2">
      <c r="A33" t="s">
        <v>138</v>
      </c>
      <c r="B33" t="s">
        <v>139</v>
      </c>
      <c r="C33" t="s">
        <v>133</v>
      </c>
      <c r="D33" t="s">
        <v>90</v>
      </c>
      <c r="E33" t="s">
        <v>42</v>
      </c>
      <c r="F33" t="s">
        <v>100</v>
      </c>
      <c r="G33" t="s">
        <v>104</v>
      </c>
      <c r="H33" t="s">
        <v>64</v>
      </c>
      <c r="I33">
        <v>15564</v>
      </c>
      <c r="J33">
        <v>3</v>
      </c>
      <c r="K33">
        <v>3.7</v>
      </c>
      <c r="L33">
        <v>4</v>
      </c>
      <c r="M33" t="s">
        <v>119</v>
      </c>
    </row>
    <row r="34" spans="1:13" x14ac:dyDescent="0.2">
      <c r="A34" t="s">
        <v>140</v>
      </c>
      <c r="B34" t="s">
        <v>141</v>
      </c>
      <c r="C34" t="s">
        <v>75</v>
      </c>
      <c r="D34" t="s">
        <v>90</v>
      </c>
      <c r="E34" t="s">
        <v>42</v>
      </c>
      <c r="F34" t="s">
        <v>83</v>
      </c>
      <c r="G34" t="s">
        <v>104</v>
      </c>
      <c r="H34" t="s">
        <v>20</v>
      </c>
      <c r="I34">
        <v>5576</v>
      </c>
      <c r="J34">
        <v>4</v>
      </c>
      <c r="K34">
        <v>4.0999999999999996</v>
      </c>
      <c r="L34">
        <v>6</v>
      </c>
      <c r="M34" t="s">
        <v>119</v>
      </c>
    </row>
    <row r="35" spans="1:13" x14ac:dyDescent="0.2">
      <c r="A35" t="s">
        <v>142</v>
      </c>
      <c r="B35" t="s">
        <v>143</v>
      </c>
      <c r="C35" t="s">
        <v>50</v>
      </c>
      <c r="D35" t="s">
        <v>63</v>
      </c>
      <c r="E35" t="s">
        <v>52</v>
      </c>
      <c r="F35" t="s">
        <v>60</v>
      </c>
      <c r="G35" t="s">
        <v>28</v>
      </c>
      <c r="H35" t="s">
        <v>20</v>
      </c>
      <c r="I35">
        <v>2196</v>
      </c>
      <c r="J35">
        <v>1</v>
      </c>
      <c r="K35">
        <v>3.9</v>
      </c>
      <c r="L35">
        <v>4</v>
      </c>
      <c r="M35" t="s">
        <v>144</v>
      </c>
    </row>
    <row r="36" spans="1:13" x14ac:dyDescent="0.2">
      <c r="A36" t="s">
        <v>145</v>
      </c>
      <c r="B36" t="s">
        <v>111</v>
      </c>
      <c r="C36" t="s">
        <v>146</v>
      </c>
      <c r="D36" t="s">
        <v>147</v>
      </c>
      <c r="E36" t="s">
        <v>52</v>
      </c>
      <c r="F36" t="s">
        <v>83</v>
      </c>
      <c r="G36" t="s">
        <v>28</v>
      </c>
      <c r="H36" t="s">
        <v>29</v>
      </c>
      <c r="I36">
        <v>6790</v>
      </c>
      <c r="J36">
        <v>7</v>
      </c>
      <c r="K36">
        <v>4.2</v>
      </c>
      <c r="L36">
        <v>2</v>
      </c>
      <c r="M36" t="s">
        <v>87</v>
      </c>
    </row>
    <row r="37" spans="1:13" x14ac:dyDescent="0.2">
      <c r="A37" t="s">
        <v>148</v>
      </c>
      <c r="B37" t="s">
        <v>149</v>
      </c>
      <c r="C37" t="s">
        <v>112</v>
      </c>
      <c r="D37" t="s">
        <v>90</v>
      </c>
      <c r="E37" t="s">
        <v>42</v>
      </c>
      <c r="F37" t="s">
        <v>60</v>
      </c>
      <c r="G37" t="s">
        <v>19</v>
      </c>
      <c r="H37" t="s">
        <v>29</v>
      </c>
      <c r="I37">
        <v>22584</v>
      </c>
      <c r="J37">
        <v>8</v>
      </c>
      <c r="K37">
        <v>4.7</v>
      </c>
      <c r="L37">
        <v>5</v>
      </c>
      <c r="M37" t="s">
        <v>30</v>
      </c>
    </row>
    <row r="38" spans="1:13" x14ac:dyDescent="0.2">
      <c r="A38" t="s">
        <v>150</v>
      </c>
      <c r="B38" t="s">
        <v>96</v>
      </c>
      <c r="C38" t="s">
        <v>50</v>
      </c>
      <c r="D38" t="s">
        <v>41</v>
      </c>
      <c r="E38" t="s">
        <v>42</v>
      </c>
      <c r="F38" t="s">
        <v>27</v>
      </c>
      <c r="G38" t="s">
        <v>19</v>
      </c>
      <c r="H38" t="s">
        <v>20</v>
      </c>
      <c r="I38">
        <v>20496</v>
      </c>
      <c r="J38">
        <v>4</v>
      </c>
      <c r="K38">
        <v>3.4</v>
      </c>
      <c r="L38">
        <v>4</v>
      </c>
      <c r="M38" t="s">
        <v>21</v>
      </c>
    </row>
    <row r="39" spans="1:13" x14ac:dyDescent="0.2">
      <c r="A39" t="s">
        <v>151</v>
      </c>
      <c r="B39" t="s">
        <v>152</v>
      </c>
      <c r="C39" t="s">
        <v>58</v>
      </c>
      <c r="D39" t="s">
        <v>116</v>
      </c>
      <c r="E39" t="s">
        <v>17</v>
      </c>
      <c r="F39" t="s">
        <v>27</v>
      </c>
      <c r="G39" t="s">
        <v>54</v>
      </c>
      <c r="H39" t="s">
        <v>64</v>
      </c>
      <c r="I39">
        <v>8466</v>
      </c>
      <c r="J39">
        <v>6</v>
      </c>
      <c r="K39">
        <v>4.7</v>
      </c>
      <c r="L39">
        <v>7</v>
      </c>
      <c r="M39" t="s">
        <v>55</v>
      </c>
    </row>
    <row r="40" spans="1:13" x14ac:dyDescent="0.2">
      <c r="A40" t="s">
        <v>153</v>
      </c>
      <c r="B40" t="s">
        <v>154</v>
      </c>
      <c r="C40" t="s">
        <v>122</v>
      </c>
      <c r="D40" t="s">
        <v>41</v>
      </c>
      <c r="E40" t="s">
        <v>42</v>
      </c>
      <c r="F40" t="s">
        <v>53</v>
      </c>
      <c r="G40" t="s">
        <v>28</v>
      </c>
      <c r="H40" t="s">
        <v>64</v>
      </c>
      <c r="I40">
        <v>25865</v>
      </c>
      <c r="J40">
        <v>5</v>
      </c>
      <c r="K40">
        <v>4.8</v>
      </c>
      <c r="L40">
        <v>8</v>
      </c>
      <c r="M40" t="s">
        <v>126</v>
      </c>
    </row>
    <row r="41" spans="1:13" x14ac:dyDescent="0.2">
      <c r="A41" t="s">
        <v>155</v>
      </c>
      <c r="B41" t="s">
        <v>156</v>
      </c>
      <c r="C41" t="s">
        <v>58</v>
      </c>
      <c r="D41" t="s">
        <v>116</v>
      </c>
      <c r="E41" t="s">
        <v>17</v>
      </c>
      <c r="F41" t="s">
        <v>100</v>
      </c>
      <c r="G41" t="s">
        <v>54</v>
      </c>
      <c r="H41" t="s">
        <v>36</v>
      </c>
      <c r="I41">
        <v>12481</v>
      </c>
      <c r="J41">
        <v>7</v>
      </c>
      <c r="K41">
        <v>4.2</v>
      </c>
      <c r="L41">
        <v>7</v>
      </c>
      <c r="M41" t="s">
        <v>126</v>
      </c>
    </row>
    <row r="42" spans="1:13" x14ac:dyDescent="0.2">
      <c r="A42" t="s">
        <v>157</v>
      </c>
      <c r="B42" t="s">
        <v>158</v>
      </c>
      <c r="C42" t="s">
        <v>50</v>
      </c>
      <c r="D42" t="s">
        <v>159</v>
      </c>
      <c r="E42" t="s">
        <v>42</v>
      </c>
      <c r="F42" t="s">
        <v>53</v>
      </c>
      <c r="G42" t="s">
        <v>28</v>
      </c>
      <c r="H42" t="s">
        <v>29</v>
      </c>
      <c r="I42">
        <v>10143</v>
      </c>
      <c r="J42">
        <v>3</v>
      </c>
      <c r="K42">
        <v>4</v>
      </c>
      <c r="L42">
        <v>6</v>
      </c>
      <c r="M42" t="s">
        <v>47</v>
      </c>
    </row>
    <row r="43" spans="1:13" x14ac:dyDescent="0.2">
      <c r="A43" t="s">
        <v>160</v>
      </c>
      <c r="B43" t="s">
        <v>161</v>
      </c>
      <c r="C43" t="s">
        <v>15</v>
      </c>
      <c r="D43" t="s">
        <v>116</v>
      </c>
      <c r="E43" t="s">
        <v>17</v>
      </c>
      <c r="F43" t="s">
        <v>100</v>
      </c>
      <c r="G43" t="s">
        <v>19</v>
      </c>
      <c r="H43" t="s">
        <v>20</v>
      </c>
      <c r="I43">
        <v>1016</v>
      </c>
      <c r="J43">
        <v>1</v>
      </c>
      <c r="K43">
        <v>4.9000000000000004</v>
      </c>
      <c r="L43">
        <v>4</v>
      </c>
      <c r="M43" t="s">
        <v>144</v>
      </c>
    </row>
    <row r="44" spans="1:13" x14ac:dyDescent="0.2">
      <c r="A44" t="s">
        <v>162</v>
      </c>
      <c r="B44" t="s">
        <v>163</v>
      </c>
      <c r="C44" t="s">
        <v>24</v>
      </c>
      <c r="D44" t="s">
        <v>51</v>
      </c>
      <c r="E44" t="s">
        <v>52</v>
      </c>
      <c r="F44" t="s">
        <v>53</v>
      </c>
      <c r="G44" t="s">
        <v>54</v>
      </c>
      <c r="H44" t="s">
        <v>36</v>
      </c>
      <c r="I44">
        <v>2284</v>
      </c>
      <c r="J44">
        <v>2</v>
      </c>
      <c r="K44">
        <v>3.5</v>
      </c>
      <c r="L44">
        <v>2</v>
      </c>
      <c r="M44" t="s">
        <v>119</v>
      </c>
    </row>
    <row r="45" spans="1:13" x14ac:dyDescent="0.2">
      <c r="A45" t="s">
        <v>164</v>
      </c>
      <c r="B45" t="s">
        <v>139</v>
      </c>
      <c r="C45" t="s">
        <v>45</v>
      </c>
      <c r="D45" t="s">
        <v>165</v>
      </c>
      <c r="E45" t="s">
        <v>35</v>
      </c>
      <c r="F45" t="s">
        <v>18</v>
      </c>
      <c r="G45" t="s">
        <v>54</v>
      </c>
      <c r="H45" t="s">
        <v>29</v>
      </c>
      <c r="I45">
        <v>87227</v>
      </c>
      <c r="J45">
        <v>7</v>
      </c>
      <c r="K45">
        <v>3.6</v>
      </c>
      <c r="L45">
        <v>5</v>
      </c>
      <c r="M45" t="s">
        <v>119</v>
      </c>
    </row>
    <row r="46" spans="1:13" x14ac:dyDescent="0.2">
      <c r="A46" t="s">
        <v>166</v>
      </c>
      <c r="B46" t="s">
        <v>167</v>
      </c>
      <c r="C46" t="s">
        <v>133</v>
      </c>
      <c r="D46" t="s">
        <v>69</v>
      </c>
      <c r="E46" t="s">
        <v>26</v>
      </c>
      <c r="F46" t="s">
        <v>53</v>
      </c>
      <c r="G46" t="s">
        <v>28</v>
      </c>
      <c r="H46" t="s">
        <v>20</v>
      </c>
      <c r="I46">
        <v>46092</v>
      </c>
      <c r="J46">
        <v>6</v>
      </c>
      <c r="K46">
        <v>4.7</v>
      </c>
      <c r="L46">
        <v>2</v>
      </c>
      <c r="M46" t="s">
        <v>119</v>
      </c>
    </row>
    <row r="47" spans="1:13" x14ac:dyDescent="0.2">
      <c r="A47" t="s">
        <v>168</v>
      </c>
      <c r="B47" t="s">
        <v>169</v>
      </c>
      <c r="C47" t="s">
        <v>170</v>
      </c>
      <c r="D47" t="s">
        <v>159</v>
      </c>
      <c r="E47" t="s">
        <v>42</v>
      </c>
      <c r="F47" t="s">
        <v>83</v>
      </c>
      <c r="G47" t="s">
        <v>54</v>
      </c>
      <c r="H47" t="s">
        <v>29</v>
      </c>
      <c r="I47">
        <v>22540</v>
      </c>
      <c r="J47">
        <v>5</v>
      </c>
      <c r="K47">
        <v>4.7</v>
      </c>
      <c r="L47">
        <v>5</v>
      </c>
      <c r="M47" t="s">
        <v>65</v>
      </c>
    </row>
    <row r="48" spans="1:13" x14ac:dyDescent="0.2">
      <c r="A48" t="s">
        <v>171</v>
      </c>
      <c r="B48" t="s">
        <v>172</v>
      </c>
      <c r="C48" t="s">
        <v>103</v>
      </c>
      <c r="D48" t="s">
        <v>159</v>
      </c>
      <c r="E48" t="s">
        <v>42</v>
      </c>
      <c r="F48" t="s">
        <v>53</v>
      </c>
      <c r="G48" t="s">
        <v>104</v>
      </c>
      <c r="H48" t="s">
        <v>29</v>
      </c>
      <c r="I48">
        <v>23534</v>
      </c>
      <c r="J48">
        <v>7</v>
      </c>
      <c r="K48">
        <v>4.0999999999999996</v>
      </c>
      <c r="L48">
        <v>6</v>
      </c>
      <c r="M48" t="s">
        <v>47</v>
      </c>
    </row>
    <row r="49" spans="1:13" x14ac:dyDescent="0.2">
      <c r="A49" t="s">
        <v>173</v>
      </c>
      <c r="B49" t="s">
        <v>174</v>
      </c>
      <c r="C49" t="s">
        <v>125</v>
      </c>
      <c r="D49" t="s">
        <v>25</v>
      </c>
      <c r="E49" t="s">
        <v>26</v>
      </c>
      <c r="F49" t="s">
        <v>60</v>
      </c>
      <c r="G49" t="s">
        <v>54</v>
      </c>
      <c r="H49" t="s">
        <v>36</v>
      </c>
      <c r="I49">
        <v>39584</v>
      </c>
      <c r="J49">
        <v>4</v>
      </c>
      <c r="K49">
        <v>4.5999999999999996</v>
      </c>
      <c r="L49">
        <v>8</v>
      </c>
      <c r="M49" t="s">
        <v>65</v>
      </c>
    </row>
    <row r="50" spans="1:13" x14ac:dyDescent="0.2">
      <c r="A50" t="s">
        <v>175</v>
      </c>
      <c r="B50" t="s">
        <v>176</v>
      </c>
      <c r="C50" t="s">
        <v>129</v>
      </c>
      <c r="D50" t="s">
        <v>34</v>
      </c>
      <c r="E50" t="s">
        <v>35</v>
      </c>
      <c r="F50" t="s">
        <v>27</v>
      </c>
      <c r="G50" t="s">
        <v>28</v>
      </c>
      <c r="H50" t="s">
        <v>29</v>
      </c>
      <c r="I50">
        <v>258124</v>
      </c>
      <c r="J50">
        <v>4</v>
      </c>
      <c r="K50">
        <v>3.8</v>
      </c>
      <c r="L50">
        <v>6</v>
      </c>
      <c r="M50" t="s">
        <v>55</v>
      </c>
    </row>
    <row r="51" spans="1:13" x14ac:dyDescent="0.2">
      <c r="A51" t="s">
        <v>177</v>
      </c>
      <c r="B51" t="s">
        <v>178</v>
      </c>
      <c r="C51" t="s">
        <v>179</v>
      </c>
      <c r="D51" t="s">
        <v>130</v>
      </c>
      <c r="E51" t="s">
        <v>35</v>
      </c>
      <c r="F51" t="s">
        <v>83</v>
      </c>
      <c r="G51" t="s">
        <v>28</v>
      </c>
      <c r="H51" t="s">
        <v>29</v>
      </c>
      <c r="I51">
        <v>87718</v>
      </c>
      <c r="J51">
        <v>2</v>
      </c>
      <c r="K51">
        <v>4.9000000000000004</v>
      </c>
      <c r="L51">
        <v>3</v>
      </c>
      <c r="M51" t="s">
        <v>37</v>
      </c>
    </row>
    <row r="52" spans="1:13" x14ac:dyDescent="0.2">
      <c r="A52" t="s">
        <v>180</v>
      </c>
      <c r="B52" t="s">
        <v>181</v>
      </c>
      <c r="C52" t="s">
        <v>103</v>
      </c>
      <c r="D52" t="s">
        <v>59</v>
      </c>
      <c r="E52" t="s">
        <v>26</v>
      </c>
      <c r="F52" t="s">
        <v>18</v>
      </c>
      <c r="G52" t="s">
        <v>54</v>
      </c>
      <c r="H52" t="s">
        <v>29</v>
      </c>
      <c r="I52">
        <v>23008</v>
      </c>
      <c r="J52">
        <v>4</v>
      </c>
      <c r="K52">
        <v>3.2</v>
      </c>
      <c r="L52">
        <v>3</v>
      </c>
      <c r="M52" t="s">
        <v>87</v>
      </c>
    </row>
    <row r="53" spans="1:13" x14ac:dyDescent="0.2">
      <c r="A53" t="s">
        <v>182</v>
      </c>
      <c r="B53" t="s">
        <v>183</v>
      </c>
      <c r="C53" t="s">
        <v>103</v>
      </c>
      <c r="D53" t="s">
        <v>51</v>
      </c>
      <c r="E53" t="s">
        <v>52</v>
      </c>
      <c r="F53" t="s">
        <v>60</v>
      </c>
      <c r="G53" t="s">
        <v>54</v>
      </c>
      <c r="H53" t="s">
        <v>36</v>
      </c>
      <c r="I53">
        <v>1414</v>
      </c>
      <c r="J53">
        <v>1</v>
      </c>
      <c r="K53">
        <v>3.8</v>
      </c>
      <c r="L53">
        <v>1</v>
      </c>
      <c r="M53" t="s">
        <v>87</v>
      </c>
    </row>
    <row r="54" spans="1:13" x14ac:dyDescent="0.2">
      <c r="A54" t="s">
        <v>184</v>
      </c>
      <c r="B54" t="s">
        <v>185</v>
      </c>
      <c r="C54" t="s">
        <v>78</v>
      </c>
      <c r="D54" t="s">
        <v>90</v>
      </c>
      <c r="E54" t="s">
        <v>42</v>
      </c>
      <c r="F54" t="s">
        <v>60</v>
      </c>
      <c r="G54" t="s">
        <v>19</v>
      </c>
      <c r="H54" t="s">
        <v>64</v>
      </c>
      <c r="I54">
        <v>3189</v>
      </c>
      <c r="J54">
        <v>1</v>
      </c>
      <c r="K54">
        <v>5</v>
      </c>
      <c r="L54">
        <v>2</v>
      </c>
      <c r="M54" t="s">
        <v>87</v>
      </c>
    </row>
    <row r="55" spans="1:13" x14ac:dyDescent="0.2">
      <c r="A55" t="s">
        <v>186</v>
      </c>
      <c r="B55" t="s">
        <v>187</v>
      </c>
      <c r="C55" t="s">
        <v>75</v>
      </c>
      <c r="D55" t="s">
        <v>90</v>
      </c>
      <c r="E55" t="s">
        <v>42</v>
      </c>
      <c r="F55" t="s">
        <v>83</v>
      </c>
      <c r="G55" t="s">
        <v>19</v>
      </c>
      <c r="H55" t="s">
        <v>20</v>
      </c>
      <c r="I55">
        <v>10584</v>
      </c>
      <c r="J55">
        <v>7</v>
      </c>
      <c r="K55">
        <v>4.3</v>
      </c>
      <c r="L55">
        <v>5</v>
      </c>
      <c r="M55" t="s">
        <v>126</v>
      </c>
    </row>
    <row r="56" spans="1:13" x14ac:dyDescent="0.2">
      <c r="A56" t="s">
        <v>188</v>
      </c>
      <c r="B56" t="s">
        <v>189</v>
      </c>
      <c r="C56" t="s">
        <v>40</v>
      </c>
      <c r="D56" t="s">
        <v>25</v>
      </c>
      <c r="E56" t="s">
        <v>26</v>
      </c>
      <c r="F56" t="s">
        <v>27</v>
      </c>
      <c r="G56" t="s">
        <v>28</v>
      </c>
      <c r="H56" t="s">
        <v>36</v>
      </c>
      <c r="I56">
        <v>5571</v>
      </c>
      <c r="J56">
        <v>1</v>
      </c>
      <c r="K56">
        <v>3.3</v>
      </c>
      <c r="L56">
        <v>5</v>
      </c>
      <c r="M56" t="s">
        <v>80</v>
      </c>
    </row>
    <row r="57" spans="1:13" x14ac:dyDescent="0.2">
      <c r="A57" t="s">
        <v>190</v>
      </c>
      <c r="B57" t="s">
        <v>191</v>
      </c>
      <c r="C57" t="s">
        <v>72</v>
      </c>
      <c r="D57" t="s">
        <v>109</v>
      </c>
      <c r="E57" t="s">
        <v>52</v>
      </c>
      <c r="F57" t="s">
        <v>18</v>
      </c>
      <c r="G57" t="s">
        <v>54</v>
      </c>
      <c r="H57" t="s">
        <v>20</v>
      </c>
      <c r="I57">
        <v>2880</v>
      </c>
      <c r="J57">
        <v>4</v>
      </c>
      <c r="K57">
        <v>3.5</v>
      </c>
      <c r="L57">
        <v>5</v>
      </c>
      <c r="M57" t="s">
        <v>192</v>
      </c>
    </row>
    <row r="58" spans="1:13" x14ac:dyDescent="0.2">
      <c r="A58" t="s">
        <v>193</v>
      </c>
      <c r="B58" t="s">
        <v>102</v>
      </c>
      <c r="C58" t="s">
        <v>146</v>
      </c>
      <c r="D58" t="s">
        <v>165</v>
      </c>
      <c r="E58" t="s">
        <v>35</v>
      </c>
      <c r="F58" t="s">
        <v>18</v>
      </c>
      <c r="G58" t="s">
        <v>54</v>
      </c>
      <c r="H58" t="s">
        <v>64</v>
      </c>
      <c r="I58">
        <v>319665</v>
      </c>
      <c r="J58">
        <v>5</v>
      </c>
      <c r="K58">
        <v>4.9000000000000004</v>
      </c>
      <c r="L58">
        <v>8</v>
      </c>
      <c r="M58" t="s">
        <v>30</v>
      </c>
    </row>
    <row r="59" spans="1:13" x14ac:dyDescent="0.2">
      <c r="A59" t="s">
        <v>194</v>
      </c>
      <c r="B59" t="s">
        <v>195</v>
      </c>
      <c r="C59" t="s">
        <v>58</v>
      </c>
      <c r="D59" t="s">
        <v>165</v>
      </c>
      <c r="E59" t="s">
        <v>35</v>
      </c>
      <c r="F59" t="s">
        <v>18</v>
      </c>
      <c r="G59" t="s">
        <v>19</v>
      </c>
      <c r="H59" t="s">
        <v>64</v>
      </c>
      <c r="I59">
        <v>77892</v>
      </c>
      <c r="J59">
        <v>1</v>
      </c>
      <c r="K59">
        <v>5</v>
      </c>
      <c r="L59">
        <v>5</v>
      </c>
      <c r="M59" t="s">
        <v>21</v>
      </c>
    </row>
    <row r="60" spans="1:13" x14ac:dyDescent="0.2">
      <c r="A60" t="s">
        <v>196</v>
      </c>
      <c r="B60" t="s">
        <v>197</v>
      </c>
      <c r="C60" t="s">
        <v>170</v>
      </c>
      <c r="D60" t="s">
        <v>69</v>
      </c>
      <c r="E60" t="s">
        <v>26</v>
      </c>
      <c r="F60" t="s">
        <v>27</v>
      </c>
      <c r="G60" t="s">
        <v>54</v>
      </c>
      <c r="H60" t="s">
        <v>20</v>
      </c>
      <c r="I60">
        <v>25500</v>
      </c>
      <c r="J60">
        <v>3</v>
      </c>
      <c r="K60">
        <v>3.8</v>
      </c>
      <c r="L60">
        <v>6</v>
      </c>
      <c r="M60" t="s">
        <v>21</v>
      </c>
    </row>
    <row r="61" spans="1:13" x14ac:dyDescent="0.2">
      <c r="A61" t="s">
        <v>198</v>
      </c>
      <c r="B61" t="s">
        <v>199</v>
      </c>
      <c r="C61" t="s">
        <v>170</v>
      </c>
      <c r="D61" t="s">
        <v>97</v>
      </c>
      <c r="E61" t="s">
        <v>35</v>
      </c>
      <c r="F61" t="s">
        <v>18</v>
      </c>
      <c r="G61" t="s">
        <v>28</v>
      </c>
      <c r="H61" t="s">
        <v>36</v>
      </c>
      <c r="I61">
        <v>596816</v>
      </c>
      <c r="J61">
        <v>8</v>
      </c>
      <c r="K61">
        <v>3.4</v>
      </c>
      <c r="L61">
        <v>5</v>
      </c>
      <c r="M61" t="s">
        <v>119</v>
      </c>
    </row>
    <row r="62" spans="1:13" x14ac:dyDescent="0.2">
      <c r="A62" t="s">
        <v>200</v>
      </c>
      <c r="B62" t="s">
        <v>201</v>
      </c>
      <c r="C62" t="s">
        <v>179</v>
      </c>
      <c r="D62" t="s">
        <v>69</v>
      </c>
      <c r="E62" t="s">
        <v>26</v>
      </c>
      <c r="F62" t="s">
        <v>53</v>
      </c>
      <c r="G62" t="s">
        <v>19</v>
      </c>
      <c r="H62" t="s">
        <v>29</v>
      </c>
      <c r="I62">
        <v>8967</v>
      </c>
      <c r="J62">
        <v>1</v>
      </c>
      <c r="K62">
        <v>4.3</v>
      </c>
      <c r="L62">
        <v>1</v>
      </c>
      <c r="M62" t="s">
        <v>55</v>
      </c>
    </row>
    <row r="63" spans="1:13" x14ac:dyDescent="0.2">
      <c r="A63" t="s">
        <v>202</v>
      </c>
      <c r="B63" t="s">
        <v>203</v>
      </c>
      <c r="C63" t="s">
        <v>75</v>
      </c>
      <c r="D63" t="s">
        <v>90</v>
      </c>
      <c r="E63" t="s">
        <v>42</v>
      </c>
      <c r="F63" t="s">
        <v>83</v>
      </c>
      <c r="G63" t="s">
        <v>54</v>
      </c>
      <c r="H63" t="s">
        <v>64</v>
      </c>
      <c r="I63">
        <v>3245</v>
      </c>
      <c r="J63">
        <v>1</v>
      </c>
      <c r="K63">
        <v>3.2</v>
      </c>
      <c r="L63">
        <v>7</v>
      </c>
      <c r="M63" t="s">
        <v>80</v>
      </c>
    </row>
    <row r="64" spans="1:13" x14ac:dyDescent="0.2">
      <c r="A64" t="s">
        <v>204</v>
      </c>
      <c r="B64" t="s">
        <v>205</v>
      </c>
      <c r="C64" t="s">
        <v>50</v>
      </c>
      <c r="D64" t="s">
        <v>86</v>
      </c>
      <c r="E64" t="s">
        <v>17</v>
      </c>
      <c r="F64" t="s">
        <v>83</v>
      </c>
      <c r="G64" t="s">
        <v>19</v>
      </c>
      <c r="H64" t="s">
        <v>36</v>
      </c>
      <c r="I64">
        <v>6710</v>
      </c>
      <c r="J64">
        <v>5</v>
      </c>
      <c r="K64">
        <v>3.6</v>
      </c>
      <c r="L64">
        <v>3</v>
      </c>
      <c r="M64" t="s">
        <v>65</v>
      </c>
    </row>
    <row r="65" spans="1:13" x14ac:dyDescent="0.2">
      <c r="A65" t="s">
        <v>206</v>
      </c>
      <c r="B65" t="s">
        <v>207</v>
      </c>
      <c r="C65" t="s">
        <v>72</v>
      </c>
      <c r="D65" t="s">
        <v>97</v>
      </c>
      <c r="E65" t="s">
        <v>35</v>
      </c>
      <c r="F65" t="s">
        <v>60</v>
      </c>
      <c r="G65" t="s">
        <v>28</v>
      </c>
      <c r="H65" t="s">
        <v>29</v>
      </c>
      <c r="I65">
        <v>208160</v>
      </c>
      <c r="J65">
        <v>5</v>
      </c>
      <c r="K65">
        <v>5</v>
      </c>
      <c r="L65">
        <v>8</v>
      </c>
      <c r="M65" t="s">
        <v>126</v>
      </c>
    </row>
    <row r="66" spans="1:13" x14ac:dyDescent="0.2">
      <c r="A66" t="s">
        <v>208</v>
      </c>
      <c r="B66" t="s">
        <v>209</v>
      </c>
      <c r="C66" t="s">
        <v>33</v>
      </c>
      <c r="D66" t="s">
        <v>165</v>
      </c>
      <c r="E66" t="s">
        <v>35</v>
      </c>
      <c r="F66" t="s">
        <v>53</v>
      </c>
      <c r="G66" t="s">
        <v>28</v>
      </c>
      <c r="H66" t="s">
        <v>64</v>
      </c>
      <c r="I66">
        <v>190589</v>
      </c>
      <c r="J66">
        <v>7</v>
      </c>
      <c r="K66">
        <v>3.9</v>
      </c>
      <c r="L66">
        <v>7</v>
      </c>
      <c r="M66" t="s">
        <v>30</v>
      </c>
    </row>
    <row r="67" spans="1:13" x14ac:dyDescent="0.2">
      <c r="A67" t="s">
        <v>210</v>
      </c>
      <c r="B67" t="s">
        <v>211</v>
      </c>
      <c r="C67" t="s">
        <v>68</v>
      </c>
      <c r="D67" t="s">
        <v>159</v>
      </c>
      <c r="E67" t="s">
        <v>42</v>
      </c>
      <c r="F67" t="s">
        <v>100</v>
      </c>
      <c r="G67" t="s">
        <v>28</v>
      </c>
      <c r="H67" t="s">
        <v>36</v>
      </c>
      <c r="I67">
        <v>3419</v>
      </c>
      <c r="J67">
        <v>1</v>
      </c>
      <c r="K67">
        <v>4.8</v>
      </c>
      <c r="L67">
        <v>8</v>
      </c>
      <c r="M67" t="s">
        <v>65</v>
      </c>
    </row>
    <row r="68" spans="1:13" x14ac:dyDescent="0.2">
      <c r="A68" t="s">
        <v>212</v>
      </c>
      <c r="B68" t="s">
        <v>213</v>
      </c>
      <c r="C68" t="s">
        <v>170</v>
      </c>
      <c r="D68" t="s">
        <v>51</v>
      </c>
      <c r="E68" t="s">
        <v>52</v>
      </c>
      <c r="F68" t="s">
        <v>27</v>
      </c>
      <c r="G68" t="s">
        <v>28</v>
      </c>
      <c r="H68" t="s">
        <v>29</v>
      </c>
      <c r="I68">
        <v>6519</v>
      </c>
      <c r="J68">
        <v>3</v>
      </c>
      <c r="K68">
        <v>4.4000000000000004</v>
      </c>
      <c r="L68">
        <v>2</v>
      </c>
      <c r="M68" t="s">
        <v>119</v>
      </c>
    </row>
    <row r="69" spans="1:13" x14ac:dyDescent="0.2">
      <c r="A69" t="s">
        <v>214</v>
      </c>
      <c r="B69" t="s">
        <v>215</v>
      </c>
      <c r="C69" t="s">
        <v>146</v>
      </c>
      <c r="D69" t="s">
        <v>41</v>
      </c>
      <c r="E69" t="s">
        <v>42</v>
      </c>
      <c r="F69" t="s">
        <v>83</v>
      </c>
      <c r="G69" t="s">
        <v>104</v>
      </c>
      <c r="H69" t="s">
        <v>36</v>
      </c>
      <c r="I69">
        <v>2880</v>
      </c>
      <c r="J69">
        <v>2</v>
      </c>
      <c r="K69">
        <v>5</v>
      </c>
      <c r="L69">
        <v>2</v>
      </c>
      <c r="M69" t="s">
        <v>192</v>
      </c>
    </row>
    <row r="70" spans="1:13" x14ac:dyDescent="0.2">
      <c r="A70" t="s">
        <v>216</v>
      </c>
      <c r="B70" t="s">
        <v>217</v>
      </c>
      <c r="C70" t="s">
        <v>24</v>
      </c>
      <c r="D70" t="s">
        <v>218</v>
      </c>
      <c r="E70" t="s">
        <v>17</v>
      </c>
      <c r="F70" t="s">
        <v>83</v>
      </c>
      <c r="G70" t="s">
        <v>54</v>
      </c>
      <c r="H70" t="s">
        <v>64</v>
      </c>
      <c r="I70">
        <v>5170</v>
      </c>
      <c r="J70">
        <v>5</v>
      </c>
      <c r="K70">
        <v>4.2</v>
      </c>
      <c r="L70">
        <v>3</v>
      </c>
      <c r="M70" t="s">
        <v>144</v>
      </c>
    </row>
    <row r="71" spans="1:13" x14ac:dyDescent="0.2">
      <c r="A71" t="s">
        <v>219</v>
      </c>
      <c r="B71" t="s">
        <v>220</v>
      </c>
      <c r="C71" t="s">
        <v>40</v>
      </c>
      <c r="D71" t="s">
        <v>79</v>
      </c>
      <c r="E71" t="s">
        <v>26</v>
      </c>
      <c r="F71" t="s">
        <v>27</v>
      </c>
      <c r="G71" t="s">
        <v>19</v>
      </c>
      <c r="H71" t="s">
        <v>36</v>
      </c>
      <c r="I71">
        <v>14949</v>
      </c>
      <c r="J71">
        <v>3</v>
      </c>
      <c r="K71">
        <v>4.4000000000000004</v>
      </c>
      <c r="L71">
        <v>8</v>
      </c>
      <c r="M71" t="s">
        <v>65</v>
      </c>
    </row>
    <row r="72" spans="1:13" x14ac:dyDescent="0.2">
      <c r="A72" t="s">
        <v>221</v>
      </c>
      <c r="B72" t="s">
        <v>222</v>
      </c>
      <c r="C72" t="s">
        <v>125</v>
      </c>
      <c r="D72" t="s">
        <v>46</v>
      </c>
      <c r="E72" t="s">
        <v>42</v>
      </c>
      <c r="F72" t="s">
        <v>18</v>
      </c>
      <c r="G72" t="s">
        <v>19</v>
      </c>
      <c r="H72" t="s">
        <v>64</v>
      </c>
      <c r="I72">
        <v>22210</v>
      </c>
      <c r="J72">
        <v>5</v>
      </c>
      <c r="K72">
        <v>3.6</v>
      </c>
      <c r="L72">
        <v>7</v>
      </c>
      <c r="M72" t="s">
        <v>30</v>
      </c>
    </row>
    <row r="73" spans="1:13" x14ac:dyDescent="0.2">
      <c r="A73" t="s">
        <v>223</v>
      </c>
      <c r="B73" t="s">
        <v>224</v>
      </c>
      <c r="C73" t="s">
        <v>45</v>
      </c>
      <c r="D73" t="s">
        <v>59</v>
      </c>
      <c r="E73" t="s">
        <v>26</v>
      </c>
      <c r="F73" t="s">
        <v>27</v>
      </c>
      <c r="G73" t="s">
        <v>28</v>
      </c>
      <c r="H73" t="s">
        <v>29</v>
      </c>
      <c r="I73">
        <v>26485</v>
      </c>
      <c r="J73">
        <v>5</v>
      </c>
      <c r="K73">
        <v>3.2</v>
      </c>
      <c r="L73">
        <v>1</v>
      </c>
      <c r="M73" t="s">
        <v>30</v>
      </c>
    </row>
    <row r="74" spans="1:13" x14ac:dyDescent="0.2">
      <c r="A74" t="s">
        <v>225</v>
      </c>
      <c r="B74" t="s">
        <v>226</v>
      </c>
      <c r="C74" t="s">
        <v>40</v>
      </c>
      <c r="D74" t="s">
        <v>109</v>
      </c>
      <c r="E74" t="s">
        <v>52</v>
      </c>
      <c r="F74" t="s">
        <v>60</v>
      </c>
      <c r="G74" t="s">
        <v>54</v>
      </c>
      <c r="H74" t="s">
        <v>29</v>
      </c>
      <c r="I74">
        <v>5104</v>
      </c>
      <c r="J74">
        <v>4</v>
      </c>
      <c r="K74">
        <v>4.8</v>
      </c>
      <c r="L74">
        <v>1</v>
      </c>
      <c r="M74" t="s">
        <v>37</v>
      </c>
    </row>
    <row r="75" spans="1:13" x14ac:dyDescent="0.2">
      <c r="A75" t="s">
        <v>227</v>
      </c>
      <c r="B75" t="s">
        <v>228</v>
      </c>
      <c r="C75" t="s">
        <v>112</v>
      </c>
      <c r="D75" t="s">
        <v>147</v>
      </c>
      <c r="E75" t="s">
        <v>52</v>
      </c>
      <c r="F75" t="s">
        <v>100</v>
      </c>
      <c r="G75" t="s">
        <v>104</v>
      </c>
      <c r="H75" t="s">
        <v>20</v>
      </c>
      <c r="I75">
        <v>5814</v>
      </c>
      <c r="J75">
        <v>6</v>
      </c>
      <c r="K75">
        <v>4.8</v>
      </c>
      <c r="L75">
        <v>6</v>
      </c>
      <c r="M75" t="s">
        <v>126</v>
      </c>
    </row>
    <row r="76" spans="1:13" x14ac:dyDescent="0.2">
      <c r="A76" t="s">
        <v>229</v>
      </c>
      <c r="B76" t="s">
        <v>228</v>
      </c>
      <c r="C76" t="s">
        <v>78</v>
      </c>
      <c r="D76" t="s">
        <v>97</v>
      </c>
      <c r="E76" t="s">
        <v>35</v>
      </c>
      <c r="F76" t="s">
        <v>53</v>
      </c>
      <c r="G76" t="s">
        <v>54</v>
      </c>
      <c r="H76" t="s">
        <v>64</v>
      </c>
      <c r="I76">
        <v>74214</v>
      </c>
      <c r="J76">
        <v>6</v>
      </c>
      <c r="K76">
        <v>4.7</v>
      </c>
      <c r="L76">
        <v>7</v>
      </c>
      <c r="M76" t="s">
        <v>126</v>
      </c>
    </row>
    <row r="77" spans="1:13" x14ac:dyDescent="0.2">
      <c r="A77" t="s">
        <v>230</v>
      </c>
      <c r="B77" t="s">
        <v>231</v>
      </c>
      <c r="C77" t="s">
        <v>68</v>
      </c>
      <c r="D77" t="s">
        <v>218</v>
      </c>
      <c r="E77" t="s">
        <v>17</v>
      </c>
      <c r="F77" t="s">
        <v>27</v>
      </c>
      <c r="G77" t="s">
        <v>19</v>
      </c>
      <c r="H77" t="s">
        <v>64</v>
      </c>
      <c r="I77">
        <v>2462</v>
      </c>
      <c r="J77">
        <v>2</v>
      </c>
      <c r="K77">
        <v>4.7</v>
      </c>
      <c r="L77">
        <v>6</v>
      </c>
      <c r="M77" t="s">
        <v>30</v>
      </c>
    </row>
    <row r="78" spans="1:13" x14ac:dyDescent="0.2">
      <c r="A78" t="s">
        <v>232</v>
      </c>
      <c r="B78" t="s">
        <v>233</v>
      </c>
      <c r="C78" t="s">
        <v>33</v>
      </c>
      <c r="D78" t="s">
        <v>218</v>
      </c>
      <c r="E78" t="s">
        <v>17</v>
      </c>
      <c r="F78" t="s">
        <v>18</v>
      </c>
      <c r="G78" t="s">
        <v>104</v>
      </c>
      <c r="H78" t="s">
        <v>64</v>
      </c>
      <c r="I78">
        <v>6504</v>
      </c>
      <c r="J78">
        <v>4</v>
      </c>
      <c r="K78">
        <v>3.9</v>
      </c>
      <c r="L78">
        <v>3</v>
      </c>
      <c r="M78" t="s">
        <v>192</v>
      </c>
    </row>
    <row r="79" spans="1:13" x14ac:dyDescent="0.2">
      <c r="A79" t="s">
        <v>234</v>
      </c>
      <c r="B79" t="s">
        <v>235</v>
      </c>
      <c r="C79" t="s">
        <v>133</v>
      </c>
      <c r="D79" t="s">
        <v>16</v>
      </c>
      <c r="E79" t="s">
        <v>17</v>
      </c>
      <c r="F79" t="s">
        <v>27</v>
      </c>
      <c r="G79" t="s">
        <v>54</v>
      </c>
      <c r="H79" t="s">
        <v>64</v>
      </c>
      <c r="I79">
        <v>3285</v>
      </c>
      <c r="J79">
        <v>3</v>
      </c>
      <c r="K79">
        <v>4.3</v>
      </c>
      <c r="L79">
        <v>3</v>
      </c>
      <c r="M79" t="s">
        <v>21</v>
      </c>
    </row>
    <row r="80" spans="1:13" x14ac:dyDescent="0.2">
      <c r="A80" t="s">
        <v>236</v>
      </c>
      <c r="B80" t="s">
        <v>237</v>
      </c>
      <c r="C80" t="s">
        <v>68</v>
      </c>
      <c r="D80" t="s">
        <v>69</v>
      </c>
      <c r="E80" t="s">
        <v>26</v>
      </c>
      <c r="F80" t="s">
        <v>27</v>
      </c>
      <c r="G80" t="s">
        <v>104</v>
      </c>
      <c r="H80" t="s">
        <v>29</v>
      </c>
      <c r="I80">
        <v>8085</v>
      </c>
      <c r="J80">
        <v>1</v>
      </c>
      <c r="K80">
        <v>4.9000000000000004</v>
      </c>
      <c r="L80">
        <v>6</v>
      </c>
      <c r="M80" t="s">
        <v>21</v>
      </c>
    </row>
    <row r="81" spans="1:13" x14ac:dyDescent="0.2">
      <c r="A81" t="s">
        <v>238</v>
      </c>
      <c r="B81" t="s">
        <v>115</v>
      </c>
      <c r="C81" t="s">
        <v>33</v>
      </c>
      <c r="D81" t="s">
        <v>116</v>
      </c>
      <c r="E81" t="s">
        <v>17</v>
      </c>
      <c r="F81" t="s">
        <v>53</v>
      </c>
      <c r="G81" t="s">
        <v>19</v>
      </c>
      <c r="H81" t="s">
        <v>20</v>
      </c>
      <c r="I81">
        <v>2200</v>
      </c>
      <c r="J81">
        <v>4</v>
      </c>
      <c r="K81">
        <v>4.4000000000000004</v>
      </c>
      <c r="L81">
        <v>1</v>
      </c>
      <c r="M81" t="s">
        <v>21</v>
      </c>
    </row>
    <row r="82" spans="1:13" x14ac:dyDescent="0.2">
      <c r="A82" t="s">
        <v>239</v>
      </c>
      <c r="B82" t="s">
        <v>108</v>
      </c>
      <c r="C82" t="s">
        <v>103</v>
      </c>
      <c r="D82" t="s">
        <v>79</v>
      </c>
      <c r="E82" t="s">
        <v>26</v>
      </c>
      <c r="F82" t="s">
        <v>83</v>
      </c>
      <c r="G82" t="s">
        <v>19</v>
      </c>
      <c r="H82" t="s">
        <v>29</v>
      </c>
      <c r="I82">
        <v>12868</v>
      </c>
      <c r="J82">
        <v>4</v>
      </c>
      <c r="K82">
        <v>4.5999999999999996</v>
      </c>
      <c r="L82">
        <v>1</v>
      </c>
      <c r="M82" t="s">
        <v>87</v>
      </c>
    </row>
    <row r="83" spans="1:13" x14ac:dyDescent="0.2">
      <c r="A83" t="s">
        <v>240</v>
      </c>
      <c r="B83" t="s">
        <v>167</v>
      </c>
      <c r="C83" t="s">
        <v>103</v>
      </c>
      <c r="D83" t="s">
        <v>147</v>
      </c>
      <c r="E83" t="s">
        <v>52</v>
      </c>
      <c r="F83" t="s">
        <v>18</v>
      </c>
      <c r="G83" t="s">
        <v>19</v>
      </c>
      <c r="H83" t="s">
        <v>64</v>
      </c>
      <c r="I83">
        <v>310</v>
      </c>
      <c r="J83">
        <v>1</v>
      </c>
      <c r="K83">
        <v>3.8</v>
      </c>
      <c r="L83">
        <v>3</v>
      </c>
      <c r="M83" t="s">
        <v>119</v>
      </c>
    </row>
    <row r="84" spans="1:13" x14ac:dyDescent="0.2">
      <c r="A84" t="s">
        <v>241</v>
      </c>
      <c r="B84" t="s">
        <v>242</v>
      </c>
      <c r="C84" t="s">
        <v>45</v>
      </c>
      <c r="D84" t="s">
        <v>25</v>
      </c>
      <c r="E84" t="s">
        <v>26</v>
      </c>
      <c r="F84" t="s">
        <v>18</v>
      </c>
      <c r="G84" t="s">
        <v>104</v>
      </c>
      <c r="H84" t="s">
        <v>64</v>
      </c>
      <c r="I84">
        <v>20688</v>
      </c>
      <c r="J84">
        <v>8</v>
      </c>
      <c r="K84">
        <v>4</v>
      </c>
      <c r="L84">
        <v>4</v>
      </c>
      <c r="M84" t="s">
        <v>87</v>
      </c>
    </row>
    <row r="85" spans="1:13" x14ac:dyDescent="0.2">
      <c r="A85" t="s">
        <v>243</v>
      </c>
      <c r="B85" t="s">
        <v>244</v>
      </c>
      <c r="C85" t="s">
        <v>45</v>
      </c>
      <c r="D85" t="s">
        <v>16</v>
      </c>
      <c r="E85" t="s">
        <v>17</v>
      </c>
      <c r="F85" t="s">
        <v>83</v>
      </c>
      <c r="G85" t="s">
        <v>54</v>
      </c>
      <c r="H85" t="s">
        <v>20</v>
      </c>
      <c r="I85">
        <v>8211</v>
      </c>
      <c r="J85">
        <v>7</v>
      </c>
      <c r="K85">
        <v>4.8</v>
      </c>
      <c r="L85">
        <v>6</v>
      </c>
      <c r="M85" t="s">
        <v>65</v>
      </c>
    </row>
    <row r="86" spans="1:13" x14ac:dyDescent="0.2">
      <c r="A86" t="s">
        <v>245</v>
      </c>
      <c r="B86" t="s">
        <v>246</v>
      </c>
      <c r="C86" t="s">
        <v>68</v>
      </c>
      <c r="D86" t="s">
        <v>165</v>
      </c>
      <c r="E86" t="s">
        <v>35</v>
      </c>
      <c r="F86" t="s">
        <v>27</v>
      </c>
      <c r="G86" t="s">
        <v>19</v>
      </c>
      <c r="H86" t="s">
        <v>64</v>
      </c>
      <c r="I86">
        <v>246912</v>
      </c>
      <c r="J86">
        <v>6</v>
      </c>
      <c r="K86">
        <v>4.3</v>
      </c>
      <c r="L86">
        <v>2</v>
      </c>
      <c r="M86" t="s">
        <v>192</v>
      </c>
    </row>
    <row r="87" spans="1:13" x14ac:dyDescent="0.2">
      <c r="A87" t="s">
        <v>247</v>
      </c>
      <c r="B87" t="s">
        <v>201</v>
      </c>
      <c r="C87" t="s">
        <v>129</v>
      </c>
      <c r="D87" t="s">
        <v>159</v>
      </c>
      <c r="E87" t="s">
        <v>42</v>
      </c>
      <c r="F87" t="s">
        <v>83</v>
      </c>
      <c r="G87" t="s">
        <v>28</v>
      </c>
      <c r="H87" t="s">
        <v>36</v>
      </c>
      <c r="I87">
        <v>8868</v>
      </c>
      <c r="J87">
        <v>6</v>
      </c>
      <c r="K87">
        <v>4</v>
      </c>
      <c r="L87">
        <v>5</v>
      </c>
      <c r="M87" t="s">
        <v>55</v>
      </c>
    </row>
    <row r="88" spans="1:13" x14ac:dyDescent="0.2">
      <c r="A88" t="s">
        <v>248</v>
      </c>
      <c r="B88" t="s">
        <v>94</v>
      </c>
      <c r="C88" t="s">
        <v>68</v>
      </c>
      <c r="D88" t="s">
        <v>16</v>
      </c>
      <c r="E88" t="s">
        <v>17</v>
      </c>
      <c r="F88" t="s">
        <v>60</v>
      </c>
      <c r="G88" t="s">
        <v>104</v>
      </c>
      <c r="H88" t="s">
        <v>64</v>
      </c>
      <c r="I88">
        <v>3479</v>
      </c>
      <c r="J88">
        <v>7</v>
      </c>
      <c r="K88">
        <v>4.3</v>
      </c>
      <c r="L88">
        <v>6</v>
      </c>
      <c r="M88" t="s">
        <v>87</v>
      </c>
    </row>
    <row r="89" spans="1:13" x14ac:dyDescent="0.2">
      <c r="A89" t="s">
        <v>249</v>
      </c>
      <c r="B89" t="s">
        <v>250</v>
      </c>
      <c r="C89" t="s">
        <v>122</v>
      </c>
      <c r="D89" t="s">
        <v>218</v>
      </c>
      <c r="E89" t="s">
        <v>17</v>
      </c>
      <c r="F89" t="s">
        <v>18</v>
      </c>
      <c r="G89" t="s">
        <v>104</v>
      </c>
      <c r="H89" t="s">
        <v>29</v>
      </c>
      <c r="I89">
        <v>5100</v>
      </c>
      <c r="J89">
        <v>5</v>
      </c>
      <c r="K89">
        <v>3.5</v>
      </c>
      <c r="L89">
        <v>8</v>
      </c>
      <c r="M89" t="s">
        <v>192</v>
      </c>
    </row>
    <row r="90" spans="1:13" x14ac:dyDescent="0.2">
      <c r="A90" t="s">
        <v>251</v>
      </c>
      <c r="B90" t="s">
        <v>252</v>
      </c>
      <c r="C90" t="s">
        <v>170</v>
      </c>
      <c r="D90" t="s">
        <v>218</v>
      </c>
      <c r="E90" t="s">
        <v>17</v>
      </c>
      <c r="F90" t="s">
        <v>53</v>
      </c>
      <c r="G90" t="s">
        <v>54</v>
      </c>
      <c r="H90" t="s">
        <v>20</v>
      </c>
      <c r="I90">
        <v>4712</v>
      </c>
      <c r="J90">
        <v>4</v>
      </c>
      <c r="K90">
        <v>3.5</v>
      </c>
      <c r="L90">
        <v>5</v>
      </c>
      <c r="M90" t="s">
        <v>30</v>
      </c>
    </row>
    <row r="91" spans="1:13" x14ac:dyDescent="0.2">
      <c r="A91" t="s">
        <v>253</v>
      </c>
      <c r="B91" t="s">
        <v>108</v>
      </c>
      <c r="C91" t="s">
        <v>170</v>
      </c>
      <c r="D91" t="s">
        <v>51</v>
      </c>
      <c r="E91" t="s">
        <v>52</v>
      </c>
      <c r="F91" t="s">
        <v>83</v>
      </c>
      <c r="G91" t="s">
        <v>104</v>
      </c>
      <c r="H91" t="s">
        <v>29</v>
      </c>
      <c r="I91">
        <v>1125</v>
      </c>
      <c r="J91">
        <v>3</v>
      </c>
      <c r="K91">
        <v>3.9</v>
      </c>
      <c r="L91">
        <v>8</v>
      </c>
      <c r="M91" t="s">
        <v>87</v>
      </c>
    </row>
    <row r="92" spans="1:13" x14ac:dyDescent="0.2">
      <c r="A92" t="s">
        <v>254</v>
      </c>
      <c r="B92" t="s">
        <v>255</v>
      </c>
      <c r="C92" t="s">
        <v>146</v>
      </c>
      <c r="D92" t="s">
        <v>165</v>
      </c>
      <c r="E92" t="s">
        <v>35</v>
      </c>
      <c r="F92" t="s">
        <v>27</v>
      </c>
      <c r="G92" t="s">
        <v>28</v>
      </c>
      <c r="H92" t="s">
        <v>64</v>
      </c>
      <c r="I92">
        <v>46264</v>
      </c>
      <c r="J92">
        <v>2</v>
      </c>
      <c r="K92">
        <v>4.4000000000000004</v>
      </c>
      <c r="L92">
        <v>5</v>
      </c>
      <c r="M92" t="s">
        <v>192</v>
      </c>
    </row>
    <row r="93" spans="1:13" x14ac:dyDescent="0.2">
      <c r="A93" t="s">
        <v>256</v>
      </c>
      <c r="B93" t="s">
        <v>257</v>
      </c>
      <c r="C93" t="s">
        <v>112</v>
      </c>
      <c r="D93" t="s">
        <v>69</v>
      </c>
      <c r="E93" t="s">
        <v>26</v>
      </c>
      <c r="F93" t="s">
        <v>27</v>
      </c>
      <c r="G93" t="s">
        <v>104</v>
      </c>
      <c r="H93" t="s">
        <v>36</v>
      </c>
      <c r="I93">
        <v>39215</v>
      </c>
      <c r="J93">
        <v>5</v>
      </c>
      <c r="K93">
        <v>3.4</v>
      </c>
      <c r="L93">
        <v>8</v>
      </c>
      <c r="M93" t="s">
        <v>47</v>
      </c>
    </row>
    <row r="94" spans="1:13" x14ac:dyDescent="0.2">
      <c r="A94" t="s">
        <v>258</v>
      </c>
      <c r="B94" t="s">
        <v>259</v>
      </c>
      <c r="C94" t="s">
        <v>170</v>
      </c>
      <c r="D94" t="s">
        <v>51</v>
      </c>
      <c r="E94" t="s">
        <v>52</v>
      </c>
      <c r="F94" t="s">
        <v>18</v>
      </c>
      <c r="G94" t="s">
        <v>54</v>
      </c>
      <c r="H94" t="s">
        <v>64</v>
      </c>
      <c r="I94">
        <v>1087</v>
      </c>
      <c r="J94">
        <v>1</v>
      </c>
      <c r="K94">
        <v>4.5999999999999996</v>
      </c>
      <c r="L94">
        <v>5</v>
      </c>
      <c r="M94" t="s">
        <v>192</v>
      </c>
    </row>
    <row r="95" spans="1:13" x14ac:dyDescent="0.2">
      <c r="A95" t="s">
        <v>260</v>
      </c>
      <c r="B95" t="s">
        <v>261</v>
      </c>
      <c r="C95" t="s">
        <v>50</v>
      </c>
      <c r="D95" t="s">
        <v>159</v>
      </c>
      <c r="E95" t="s">
        <v>42</v>
      </c>
      <c r="F95" t="s">
        <v>27</v>
      </c>
      <c r="G95" t="s">
        <v>54</v>
      </c>
      <c r="H95" t="s">
        <v>64</v>
      </c>
      <c r="I95">
        <v>36939</v>
      </c>
      <c r="J95">
        <v>7</v>
      </c>
      <c r="K95">
        <v>4.7</v>
      </c>
      <c r="L95">
        <v>2</v>
      </c>
      <c r="M95" t="s">
        <v>80</v>
      </c>
    </row>
    <row r="96" spans="1:13" x14ac:dyDescent="0.2">
      <c r="A96" t="s">
        <v>262</v>
      </c>
      <c r="B96" t="s">
        <v>263</v>
      </c>
      <c r="C96" t="s">
        <v>50</v>
      </c>
      <c r="D96" t="s">
        <v>116</v>
      </c>
      <c r="E96" t="s">
        <v>17</v>
      </c>
      <c r="F96" t="s">
        <v>18</v>
      </c>
      <c r="G96" t="s">
        <v>104</v>
      </c>
      <c r="H96" t="s">
        <v>20</v>
      </c>
      <c r="I96">
        <v>8874</v>
      </c>
      <c r="J96">
        <v>6</v>
      </c>
      <c r="K96">
        <v>4</v>
      </c>
      <c r="L96">
        <v>2</v>
      </c>
      <c r="M96" t="s">
        <v>87</v>
      </c>
    </row>
    <row r="97" spans="1:13" x14ac:dyDescent="0.2">
      <c r="A97" t="s">
        <v>264</v>
      </c>
      <c r="B97" t="s">
        <v>118</v>
      </c>
      <c r="C97" t="s">
        <v>50</v>
      </c>
      <c r="D97" t="s">
        <v>69</v>
      </c>
      <c r="E97" t="s">
        <v>26</v>
      </c>
      <c r="F97" t="s">
        <v>53</v>
      </c>
      <c r="G97" t="s">
        <v>104</v>
      </c>
      <c r="H97" t="s">
        <v>20</v>
      </c>
      <c r="I97">
        <v>47628</v>
      </c>
      <c r="J97">
        <v>6</v>
      </c>
      <c r="K97">
        <v>4.3</v>
      </c>
      <c r="L97">
        <v>2</v>
      </c>
      <c r="M97" t="s">
        <v>119</v>
      </c>
    </row>
    <row r="98" spans="1:13" x14ac:dyDescent="0.2">
      <c r="A98" t="s">
        <v>265</v>
      </c>
      <c r="B98" t="s">
        <v>263</v>
      </c>
      <c r="C98" t="s">
        <v>122</v>
      </c>
      <c r="D98" t="s">
        <v>34</v>
      </c>
      <c r="E98" t="s">
        <v>35</v>
      </c>
      <c r="F98" t="s">
        <v>18</v>
      </c>
      <c r="G98" t="s">
        <v>19</v>
      </c>
      <c r="H98" t="s">
        <v>29</v>
      </c>
      <c r="I98">
        <v>55830</v>
      </c>
      <c r="J98">
        <v>2</v>
      </c>
      <c r="K98">
        <v>4.5</v>
      </c>
      <c r="L98">
        <v>3</v>
      </c>
      <c r="M98" t="s">
        <v>87</v>
      </c>
    </row>
    <row r="99" spans="1:13" x14ac:dyDescent="0.2">
      <c r="A99" t="s">
        <v>266</v>
      </c>
      <c r="B99" t="s">
        <v>267</v>
      </c>
      <c r="C99" t="s">
        <v>58</v>
      </c>
      <c r="D99" t="s">
        <v>63</v>
      </c>
      <c r="E99" t="s">
        <v>52</v>
      </c>
      <c r="F99" t="s">
        <v>27</v>
      </c>
      <c r="G99" t="s">
        <v>104</v>
      </c>
      <c r="H99" t="s">
        <v>29</v>
      </c>
      <c r="I99">
        <v>1674</v>
      </c>
      <c r="J99">
        <v>3</v>
      </c>
      <c r="K99">
        <v>4</v>
      </c>
      <c r="L99">
        <v>8</v>
      </c>
      <c r="M99" t="s">
        <v>192</v>
      </c>
    </row>
    <row r="100" spans="1:13" x14ac:dyDescent="0.2">
      <c r="A100" t="s">
        <v>268</v>
      </c>
      <c r="B100" t="s">
        <v>85</v>
      </c>
      <c r="C100" t="s">
        <v>40</v>
      </c>
      <c r="D100" t="s">
        <v>51</v>
      </c>
      <c r="E100" t="s">
        <v>52</v>
      </c>
      <c r="F100" t="s">
        <v>60</v>
      </c>
      <c r="G100" t="s">
        <v>28</v>
      </c>
      <c r="H100" t="s">
        <v>36</v>
      </c>
      <c r="I100">
        <v>11920</v>
      </c>
      <c r="J100">
        <v>8</v>
      </c>
      <c r="K100">
        <v>3.8</v>
      </c>
      <c r="L100">
        <v>2</v>
      </c>
      <c r="M100" t="s">
        <v>87</v>
      </c>
    </row>
    <row r="101" spans="1:13" x14ac:dyDescent="0.2">
      <c r="A101" t="s">
        <v>269</v>
      </c>
      <c r="B101" t="s">
        <v>96</v>
      </c>
      <c r="C101" t="s">
        <v>146</v>
      </c>
      <c r="D101" t="s">
        <v>218</v>
      </c>
      <c r="E101" t="s">
        <v>17</v>
      </c>
      <c r="F101" t="s">
        <v>100</v>
      </c>
      <c r="G101" t="s">
        <v>19</v>
      </c>
      <c r="H101" t="s">
        <v>29</v>
      </c>
      <c r="I101">
        <v>3240</v>
      </c>
      <c r="J101">
        <v>2</v>
      </c>
      <c r="K101">
        <v>3.9</v>
      </c>
      <c r="L101">
        <v>1</v>
      </c>
      <c r="M101" t="s">
        <v>21</v>
      </c>
    </row>
    <row r="102" spans="1:13" x14ac:dyDescent="0.2">
      <c r="A102" t="s">
        <v>270</v>
      </c>
      <c r="B102" t="s">
        <v>271</v>
      </c>
      <c r="C102" t="s">
        <v>33</v>
      </c>
      <c r="D102" t="s">
        <v>69</v>
      </c>
      <c r="E102" t="s">
        <v>26</v>
      </c>
      <c r="F102" t="s">
        <v>83</v>
      </c>
      <c r="G102" t="s">
        <v>28</v>
      </c>
      <c r="H102" t="s">
        <v>64</v>
      </c>
      <c r="I102">
        <v>6543</v>
      </c>
      <c r="J102">
        <v>3</v>
      </c>
      <c r="K102">
        <v>4.0999999999999996</v>
      </c>
      <c r="L102">
        <v>3</v>
      </c>
      <c r="M102" t="s">
        <v>65</v>
      </c>
    </row>
    <row r="103" spans="1:13" x14ac:dyDescent="0.2">
      <c r="A103" t="s">
        <v>272</v>
      </c>
      <c r="B103" t="s">
        <v>273</v>
      </c>
      <c r="C103" t="s">
        <v>75</v>
      </c>
      <c r="D103" t="s">
        <v>79</v>
      </c>
      <c r="E103" t="s">
        <v>26</v>
      </c>
      <c r="F103" t="s">
        <v>53</v>
      </c>
      <c r="G103" t="s">
        <v>54</v>
      </c>
      <c r="H103" t="s">
        <v>64</v>
      </c>
      <c r="I103">
        <v>71538</v>
      </c>
      <c r="J103">
        <v>6</v>
      </c>
      <c r="K103">
        <v>4.3</v>
      </c>
      <c r="L103">
        <v>6</v>
      </c>
      <c r="M103" t="s">
        <v>55</v>
      </c>
    </row>
    <row r="104" spans="1:13" x14ac:dyDescent="0.2">
      <c r="A104" t="s">
        <v>274</v>
      </c>
      <c r="B104" t="s">
        <v>275</v>
      </c>
      <c r="C104" t="s">
        <v>72</v>
      </c>
      <c r="D104" t="s">
        <v>130</v>
      </c>
      <c r="E104" t="s">
        <v>35</v>
      </c>
      <c r="F104" t="s">
        <v>100</v>
      </c>
      <c r="G104" t="s">
        <v>54</v>
      </c>
      <c r="H104" t="s">
        <v>29</v>
      </c>
      <c r="I104">
        <v>236640</v>
      </c>
      <c r="J104">
        <v>3</v>
      </c>
      <c r="K104">
        <v>3.8</v>
      </c>
      <c r="L104">
        <v>7</v>
      </c>
      <c r="M104" t="s">
        <v>119</v>
      </c>
    </row>
    <row r="105" spans="1:13" x14ac:dyDescent="0.2">
      <c r="A105" t="s">
        <v>276</v>
      </c>
      <c r="B105" t="s">
        <v>277</v>
      </c>
      <c r="C105" t="s">
        <v>15</v>
      </c>
      <c r="D105" t="s">
        <v>69</v>
      </c>
      <c r="E105" t="s">
        <v>26</v>
      </c>
      <c r="F105" t="s">
        <v>53</v>
      </c>
      <c r="G105" t="s">
        <v>104</v>
      </c>
      <c r="H105" t="s">
        <v>20</v>
      </c>
      <c r="I105">
        <v>70704</v>
      </c>
      <c r="J105">
        <v>6</v>
      </c>
      <c r="K105">
        <v>4</v>
      </c>
      <c r="L105">
        <v>6</v>
      </c>
      <c r="M105" t="s">
        <v>192</v>
      </c>
    </row>
    <row r="106" spans="1:13" x14ac:dyDescent="0.2">
      <c r="A106" t="s">
        <v>278</v>
      </c>
      <c r="B106" t="s">
        <v>279</v>
      </c>
      <c r="C106" t="s">
        <v>112</v>
      </c>
      <c r="D106" t="s">
        <v>109</v>
      </c>
      <c r="E106" t="s">
        <v>52</v>
      </c>
      <c r="F106" t="s">
        <v>100</v>
      </c>
      <c r="G106" t="s">
        <v>54</v>
      </c>
      <c r="H106" t="s">
        <v>29</v>
      </c>
      <c r="I106">
        <v>3252</v>
      </c>
      <c r="J106">
        <v>4</v>
      </c>
      <c r="K106">
        <v>4.7</v>
      </c>
      <c r="L106">
        <v>2</v>
      </c>
      <c r="M106" t="s">
        <v>65</v>
      </c>
    </row>
    <row r="107" spans="1:13" x14ac:dyDescent="0.2">
      <c r="A107" t="s">
        <v>280</v>
      </c>
      <c r="B107" t="s">
        <v>255</v>
      </c>
      <c r="C107" t="s">
        <v>133</v>
      </c>
      <c r="D107" t="s">
        <v>79</v>
      </c>
      <c r="E107" t="s">
        <v>26</v>
      </c>
      <c r="F107" t="s">
        <v>53</v>
      </c>
      <c r="G107" t="s">
        <v>19</v>
      </c>
      <c r="H107" t="s">
        <v>64</v>
      </c>
      <c r="I107">
        <v>24584</v>
      </c>
      <c r="J107">
        <v>7</v>
      </c>
      <c r="K107">
        <v>4.5</v>
      </c>
      <c r="L107">
        <v>1</v>
      </c>
      <c r="M107" t="s">
        <v>192</v>
      </c>
    </row>
    <row r="108" spans="1:13" x14ac:dyDescent="0.2">
      <c r="A108" t="s">
        <v>281</v>
      </c>
      <c r="B108" t="s">
        <v>282</v>
      </c>
      <c r="C108" t="s">
        <v>146</v>
      </c>
      <c r="D108" t="s">
        <v>59</v>
      </c>
      <c r="E108" t="s">
        <v>26</v>
      </c>
      <c r="F108" t="s">
        <v>53</v>
      </c>
      <c r="G108" t="s">
        <v>28</v>
      </c>
      <c r="H108" t="s">
        <v>64</v>
      </c>
      <c r="I108">
        <v>15912</v>
      </c>
      <c r="J108">
        <v>4</v>
      </c>
      <c r="K108">
        <v>3.9</v>
      </c>
      <c r="L108">
        <v>8</v>
      </c>
      <c r="M108" t="s">
        <v>47</v>
      </c>
    </row>
    <row r="109" spans="1:13" x14ac:dyDescent="0.2">
      <c r="A109" t="s">
        <v>283</v>
      </c>
      <c r="B109" t="s">
        <v>284</v>
      </c>
      <c r="C109" t="s">
        <v>40</v>
      </c>
      <c r="D109" t="s">
        <v>63</v>
      </c>
      <c r="E109" t="s">
        <v>52</v>
      </c>
      <c r="F109" t="s">
        <v>18</v>
      </c>
      <c r="G109" t="s">
        <v>19</v>
      </c>
      <c r="H109" t="s">
        <v>29</v>
      </c>
      <c r="I109">
        <v>1389</v>
      </c>
      <c r="J109">
        <v>3</v>
      </c>
      <c r="K109">
        <v>4.9000000000000004</v>
      </c>
      <c r="L109">
        <v>2</v>
      </c>
      <c r="M109" t="s">
        <v>192</v>
      </c>
    </row>
    <row r="110" spans="1:13" x14ac:dyDescent="0.2">
      <c r="A110" t="s">
        <v>285</v>
      </c>
      <c r="B110" t="s">
        <v>286</v>
      </c>
      <c r="C110" t="s">
        <v>122</v>
      </c>
      <c r="D110" t="s">
        <v>159</v>
      </c>
      <c r="E110" t="s">
        <v>42</v>
      </c>
      <c r="F110" t="s">
        <v>60</v>
      </c>
      <c r="G110" t="s">
        <v>54</v>
      </c>
      <c r="H110" t="s">
        <v>29</v>
      </c>
      <c r="I110">
        <v>1836</v>
      </c>
      <c r="J110">
        <v>2</v>
      </c>
      <c r="K110">
        <v>3.3</v>
      </c>
      <c r="L110">
        <v>6</v>
      </c>
      <c r="M110" t="s">
        <v>47</v>
      </c>
    </row>
    <row r="111" spans="1:13" x14ac:dyDescent="0.2">
      <c r="A111" t="s">
        <v>287</v>
      </c>
      <c r="B111" t="s">
        <v>288</v>
      </c>
      <c r="C111" t="s">
        <v>72</v>
      </c>
      <c r="D111" t="s">
        <v>147</v>
      </c>
      <c r="E111" t="s">
        <v>52</v>
      </c>
      <c r="F111" t="s">
        <v>27</v>
      </c>
      <c r="G111" t="s">
        <v>28</v>
      </c>
      <c r="H111" t="s">
        <v>64</v>
      </c>
      <c r="I111">
        <v>3246</v>
      </c>
      <c r="J111">
        <v>2</v>
      </c>
      <c r="K111">
        <v>3.7</v>
      </c>
      <c r="L111">
        <v>8</v>
      </c>
      <c r="M111" t="s">
        <v>126</v>
      </c>
    </row>
    <row r="112" spans="1:13" x14ac:dyDescent="0.2">
      <c r="A112" t="s">
        <v>289</v>
      </c>
      <c r="B112" t="s">
        <v>290</v>
      </c>
      <c r="C112" t="s">
        <v>40</v>
      </c>
      <c r="D112" t="s">
        <v>25</v>
      </c>
      <c r="E112" t="s">
        <v>26</v>
      </c>
      <c r="F112" t="s">
        <v>83</v>
      </c>
      <c r="G112" t="s">
        <v>104</v>
      </c>
      <c r="H112" t="s">
        <v>36</v>
      </c>
      <c r="I112">
        <v>10775</v>
      </c>
      <c r="J112">
        <v>1</v>
      </c>
      <c r="K112">
        <v>4.0999999999999996</v>
      </c>
      <c r="L112">
        <v>2</v>
      </c>
      <c r="M112" t="s">
        <v>87</v>
      </c>
    </row>
    <row r="113" spans="1:13" x14ac:dyDescent="0.2">
      <c r="A113" t="s">
        <v>291</v>
      </c>
      <c r="B113" t="s">
        <v>292</v>
      </c>
      <c r="C113" t="s">
        <v>72</v>
      </c>
      <c r="D113" t="s">
        <v>86</v>
      </c>
      <c r="E113" t="s">
        <v>17</v>
      </c>
      <c r="F113" t="s">
        <v>53</v>
      </c>
      <c r="G113" t="s">
        <v>28</v>
      </c>
      <c r="H113" t="s">
        <v>36</v>
      </c>
      <c r="I113">
        <v>3424</v>
      </c>
      <c r="J113">
        <v>8</v>
      </c>
      <c r="K113">
        <v>3.2</v>
      </c>
      <c r="L113">
        <v>4</v>
      </c>
      <c r="M113" t="s">
        <v>47</v>
      </c>
    </row>
    <row r="114" spans="1:13" x14ac:dyDescent="0.2">
      <c r="A114" t="s">
        <v>293</v>
      </c>
      <c r="B114" t="s">
        <v>294</v>
      </c>
      <c r="C114" t="s">
        <v>50</v>
      </c>
      <c r="D114" t="s">
        <v>59</v>
      </c>
      <c r="E114" t="s">
        <v>26</v>
      </c>
      <c r="F114" t="s">
        <v>60</v>
      </c>
      <c r="G114" t="s">
        <v>54</v>
      </c>
      <c r="H114" t="s">
        <v>64</v>
      </c>
      <c r="I114">
        <v>13356</v>
      </c>
      <c r="J114">
        <v>7</v>
      </c>
      <c r="K114">
        <v>4.9000000000000004</v>
      </c>
      <c r="L114">
        <v>1</v>
      </c>
      <c r="M114" t="s">
        <v>21</v>
      </c>
    </row>
    <row r="115" spans="1:13" x14ac:dyDescent="0.2">
      <c r="A115" t="s">
        <v>295</v>
      </c>
      <c r="B115" t="s">
        <v>296</v>
      </c>
      <c r="C115" t="s">
        <v>72</v>
      </c>
      <c r="D115" t="s">
        <v>130</v>
      </c>
      <c r="E115" t="s">
        <v>35</v>
      </c>
      <c r="F115" t="s">
        <v>18</v>
      </c>
      <c r="G115" t="s">
        <v>104</v>
      </c>
      <c r="H115" t="s">
        <v>29</v>
      </c>
      <c r="I115">
        <v>204624</v>
      </c>
      <c r="J115">
        <v>6</v>
      </c>
      <c r="K115">
        <v>4.5999999999999996</v>
      </c>
      <c r="L115">
        <v>6</v>
      </c>
      <c r="M115" t="s">
        <v>144</v>
      </c>
    </row>
    <row r="116" spans="1:13" x14ac:dyDescent="0.2">
      <c r="A116" t="s">
        <v>297</v>
      </c>
      <c r="B116" t="s">
        <v>298</v>
      </c>
      <c r="C116" t="s">
        <v>33</v>
      </c>
      <c r="D116" t="s">
        <v>51</v>
      </c>
      <c r="E116" t="s">
        <v>52</v>
      </c>
      <c r="F116" t="s">
        <v>83</v>
      </c>
      <c r="G116" t="s">
        <v>54</v>
      </c>
      <c r="H116" t="s">
        <v>29</v>
      </c>
      <c r="I116">
        <v>7968</v>
      </c>
      <c r="J116">
        <v>8</v>
      </c>
      <c r="K116">
        <v>3.3</v>
      </c>
      <c r="L116">
        <v>4</v>
      </c>
      <c r="M116" t="s">
        <v>119</v>
      </c>
    </row>
    <row r="117" spans="1:13" x14ac:dyDescent="0.2">
      <c r="A117" t="s">
        <v>299</v>
      </c>
      <c r="B117" t="s">
        <v>300</v>
      </c>
      <c r="C117" t="s">
        <v>170</v>
      </c>
      <c r="D117" t="s">
        <v>165</v>
      </c>
      <c r="E117" t="s">
        <v>35</v>
      </c>
      <c r="F117" t="s">
        <v>53</v>
      </c>
      <c r="G117" t="s">
        <v>54</v>
      </c>
      <c r="H117" t="s">
        <v>29</v>
      </c>
      <c r="I117">
        <v>220384</v>
      </c>
      <c r="J117">
        <v>8</v>
      </c>
      <c r="K117">
        <v>4.8</v>
      </c>
      <c r="L117">
        <v>1</v>
      </c>
      <c r="M117" t="s">
        <v>55</v>
      </c>
    </row>
    <row r="118" spans="1:13" x14ac:dyDescent="0.2">
      <c r="A118" t="s">
        <v>301</v>
      </c>
      <c r="B118" t="s">
        <v>302</v>
      </c>
      <c r="C118" t="s">
        <v>75</v>
      </c>
      <c r="D118" t="s">
        <v>90</v>
      </c>
      <c r="E118" t="s">
        <v>42</v>
      </c>
      <c r="F118" t="s">
        <v>27</v>
      </c>
      <c r="G118" t="s">
        <v>28</v>
      </c>
      <c r="H118" t="s">
        <v>36</v>
      </c>
      <c r="I118">
        <v>33425</v>
      </c>
      <c r="J118">
        <v>7</v>
      </c>
      <c r="K118">
        <v>4.9000000000000004</v>
      </c>
      <c r="L118">
        <v>5</v>
      </c>
      <c r="M118" t="s">
        <v>47</v>
      </c>
    </row>
    <row r="119" spans="1:13" x14ac:dyDescent="0.2">
      <c r="A119" t="s">
        <v>303</v>
      </c>
      <c r="B119" t="s">
        <v>304</v>
      </c>
      <c r="C119" t="s">
        <v>45</v>
      </c>
      <c r="D119" t="s">
        <v>159</v>
      </c>
      <c r="E119" t="s">
        <v>42</v>
      </c>
      <c r="F119" t="s">
        <v>27</v>
      </c>
      <c r="G119" t="s">
        <v>28</v>
      </c>
      <c r="H119" t="s">
        <v>20</v>
      </c>
      <c r="I119">
        <v>16930</v>
      </c>
      <c r="J119">
        <v>5</v>
      </c>
      <c r="K119">
        <v>3.7</v>
      </c>
      <c r="L119">
        <v>8</v>
      </c>
      <c r="M119" t="s">
        <v>30</v>
      </c>
    </row>
    <row r="120" spans="1:13" x14ac:dyDescent="0.2">
      <c r="A120" t="s">
        <v>305</v>
      </c>
      <c r="B120" t="s">
        <v>306</v>
      </c>
      <c r="C120" t="s">
        <v>75</v>
      </c>
      <c r="D120" t="s">
        <v>46</v>
      </c>
      <c r="E120" t="s">
        <v>42</v>
      </c>
      <c r="F120" t="s">
        <v>27</v>
      </c>
      <c r="G120" t="s">
        <v>28</v>
      </c>
      <c r="H120" t="s">
        <v>29</v>
      </c>
      <c r="I120">
        <v>4263</v>
      </c>
      <c r="J120">
        <v>1</v>
      </c>
      <c r="K120">
        <v>4.4000000000000004</v>
      </c>
      <c r="L120">
        <v>1</v>
      </c>
      <c r="M120" t="s">
        <v>47</v>
      </c>
    </row>
    <row r="121" spans="1:13" x14ac:dyDescent="0.2">
      <c r="A121" t="s">
        <v>307</v>
      </c>
      <c r="B121" t="s">
        <v>308</v>
      </c>
      <c r="C121" t="s">
        <v>129</v>
      </c>
      <c r="D121" t="s">
        <v>79</v>
      </c>
      <c r="E121" t="s">
        <v>26</v>
      </c>
      <c r="F121" t="s">
        <v>60</v>
      </c>
      <c r="G121" t="s">
        <v>54</v>
      </c>
      <c r="H121" t="s">
        <v>20</v>
      </c>
      <c r="I121">
        <v>5703</v>
      </c>
      <c r="J121">
        <v>3</v>
      </c>
      <c r="K121">
        <v>3.6</v>
      </c>
      <c r="L121">
        <v>6</v>
      </c>
      <c r="M121" t="s">
        <v>144</v>
      </c>
    </row>
    <row r="122" spans="1:13" x14ac:dyDescent="0.2">
      <c r="A122" t="s">
        <v>309</v>
      </c>
      <c r="B122" t="s">
        <v>310</v>
      </c>
      <c r="C122" t="s">
        <v>122</v>
      </c>
      <c r="D122" t="s">
        <v>46</v>
      </c>
      <c r="E122" t="s">
        <v>42</v>
      </c>
      <c r="F122" t="s">
        <v>18</v>
      </c>
      <c r="G122" t="s">
        <v>54</v>
      </c>
      <c r="H122" t="s">
        <v>20</v>
      </c>
      <c r="I122">
        <v>29648</v>
      </c>
      <c r="J122">
        <v>8</v>
      </c>
      <c r="K122">
        <v>3.8</v>
      </c>
      <c r="L122">
        <v>5</v>
      </c>
      <c r="M122" t="s">
        <v>55</v>
      </c>
    </row>
    <row r="123" spans="1:13" x14ac:dyDescent="0.2">
      <c r="A123" t="s">
        <v>311</v>
      </c>
      <c r="B123" t="s">
        <v>23</v>
      </c>
      <c r="C123" t="s">
        <v>179</v>
      </c>
      <c r="D123" t="s">
        <v>90</v>
      </c>
      <c r="E123" t="s">
        <v>42</v>
      </c>
      <c r="F123" t="s">
        <v>18</v>
      </c>
      <c r="G123" t="s">
        <v>19</v>
      </c>
      <c r="H123" t="s">
        <v>36</v>
      </c>
      <c r="I123">
        <v>4914</v>
      </c>
      <c r="J123">
        <v>2</v>
      </c>
      <c r="K123">
        <v>3.7</v>
      </c>
      <c r="L123">
        <v>8</v>
      </c>
      <c r="M123" t="s">
        <v>30</v>
      </c>
    </row>
    <row r="124" spans="1:13" x14ac:dyDescent="0.2">
      <c r="A124" t="s">
        <v>312</v>
      </c>
      <c r="B124" t="s">
        <v>313</v>
      </c>
      <c r="C124" t="s">
        <v>24</v>
      </c>
      <c r="D124" t="s">
        <v>159</v>
      </c>
      <c r="E124" t="s">
        <v>42</v>
      </c>
      <c r="F124" t="s">
        <v>27</v>
      </c>
      <c r="G124" t="s">
        <v>19</v>
      </c>
      <c r="H124" t="s">
        <v>29</v>
      </c>
      <c r="I124">
        <v>2462</v>
      </c>
      <c r="J124">
        <v>2</v>
      </c>
      <c r="K124">
        <v>4.2</v>
      </c>
      <c r="L124">
        <v>5</v>
      </c>
      <c r="M124" t="s">
        <v>47</v>
      </c>
    </row>
    <row r="125" spans="1:13" x14ac:dyDescent="0.2">
      <c r="A125" t="s">
        <v>314</v>
      </c>
      <c r="B125" t="s">
        <v>203</v>
      </c>
      <c r="C125" t="s">
        <v>146</v>
      </c>
      <c r="D125" t="s">
        <v>79</v>
      </c>
      <c r="E125" t="s">
        <v>26</v>
      </c>
      <c r="F125" t="s">
        <v>100</v>
      </c>
      <c r="G125" t="s">
        <v>19</v>
      </c>
      <c r="H125" t="s">
        <v>36</v>
      </c>
      <c r="I125">
        <v>26848</v>
      </c>
      <c r="J125">
        <v>4</v>
      </c>
      <c r="K125">
        <v>4.2</v>
      </c>
      <c r="L125">
        <v>6</v>
      </c>
      <c r="M125" t="s">
        <v>80</v>
      </c>
    </row>
    <row r="126" spans="1:13" x14ac:dyDescent="0.2">
      <c r="A126" t="s">
        <v>315</v>
      </c>
      <c r="B126" t="s">
        <v>300</v>
      </c>
      <c r="C126" t="s">
        <v>75</v>
      </c>
      <c r="D126" t="s">
        <v>218</v>
      </c>
      <c r="E126" t="s">
        <v>17</v>
      </c>
      <c r="F126" t="s">
        <v>60</v>
      </c>
      <c r="G126" t="s">
        <v>28</v>
      </c>
      <c r="H126" t="s">
        <v>29</v>
      </c>
      <c r="I126">
        <v>11008</v>
      </c>
      <c r="J126">
        <v>8</v>
      </c>
      <c r="K126">
        <v>3.4</v>
      </c>
      <c r="L126">
        <v>6</v>
      </c>
      <c r="M126" t="s">
        <v>55</v>
      </c>
    </row>
    <row r="127" spans="1:13" x14ac:dyDescent="0.2">
      <c r="A127" t="s">
        <v>316</v>
      </c>
      <c r="B127" t="s">
        <v>261</v>
      </c>
      <c r="C127" t="s">
        <v>170</v>
      </c>
      <c r="D127" t="s">
        <v>63</v>
      </c>
      <c r="E127" t="s">
        <v>52</v>
      </c>
      <c r="F127" t="s">
        <v>27</v>
      </c>
      <c r="G127" t="s">
        <v>19</v>
      </c>
      <c r="H127" t="s">
        <v>29</v>
      </c>
      <c r="I127">
        <v>3332</v>
      </c>
      <c r="J127">
        <v>7</v>
      </c>
      <c r="K127">
        <v>3.7</v>
      </c>
      <c r="L127">
        <v>3</v>
      </c>
      <c r="M127" t="s">
        <v>80</v>
      </c>
    </row>
    <row r="128" spans="1:13" x14ac:dyDescent="0.2">
      <c r="A128" t="s">
        <v>317</v>
      </c>
      <c r="B128" t="s">
        <v>290</v>
      </c>
      <c r="C128" t="s">
        <v>112</v>
      </c>
      <c r="D128" t="s">
        <v>59</v>
      </c>
      <c r="E128" t="s">
        <v>26</v>
      </c>
      <c r="F128" t="s">
        <v>27</v>
      </c>
      <c r="G128" t="s">
        <v>19</v>
      </c>
      <c r="H128" t="s">
        <v>20</v>
      </c>
      <c r="I128">
        <v>28805</v>
      </c>
      <c r="J128">
        <v>5</v>
      </c>
      <c r="K128">
        <v>4.3</v>
      </c>
      <c r="L128">
        <v>2</v>
      </c>
      <c r="M128" t="s">
        <v>87</v>
      </c>
    </row>
    <row r="129" spans="1:13" x14ac:dyDescent="0.2">
      <c r="A129" t="s">
        <v>318</v>
      </c>
      <c r="B129" t="s">
        <v>319</v>
      </c>
      <c r="C129" t="s">
        <v>58</v>
      </c>
      <c r="D129" t="s">
        <v>109</v>
      </c>
      <c r="E129" t="s">
        <v>52</v>
      </c>
      <c r="F129" t="s">
        <v>60</v>
      </c>
      <c r="G129" t="s">
        <v>54</v>
      </c>
      <c r="H129" t="s">
        <v>64</v>
      </c>
      <c r="I129">
        <v>582</v>
      </c>
      <c r="J129">
        <v>1</v>
      </c>
      <c r="K129">
        <v>3.7</v>
      </c>
      <c r="L129">
        <v>4</v>
      </c>
      <c r="M129" t="s">
        <v>30</v>
      </c>
    </row>
    <row r="130" spans="1:13" x14ac:dyDescent="0.2">
      <c r="A130" t="s">
        <v>320</v>
      </c>
      <c r="B130" t="s">
        <v>321</v>
      </c>
      <c r="C130" t="s">
        <v>24</v>
      </c>
      <c r="D130" t="s">
        <v>59</v>
      </c>
      <c r="E130" t="s">
        <v>26</v>
      </c>
      <c r="F130" t="s">
        <v>60</v>
      </c>
      <c r="G130" t="s">
        <v>28</v>
      </c>
      <c r="H130" t="s">
        <v>64</v>
      </c>
      <c r="I130">
        <v>41150</v>
      </c>
      <c r="J130">
        <v>5</v>
      </c>
      <c r="K130">
        <v>3.3</v>
      </c>
      <c r="L130">
        <v>1</v>
      </c>
      <c r="M130" t="s">
        <v>192</v>
      </c>
    </row>
    <row r="131" spans="1:13" x14ac:dyDescent="0.2">
      <c r="A131" t="s">
        <v>322</v>
      </c>
      <c r="B131" t="s">
        <v>207</v>
      </c>
      <c r="C131" t="s">
        <v>170</v>
      </c>
      <c r="D131" t="s">
        <v>159</v>
      </c>
      <c r="E131" t="s">
        <v>42</v>
      </c>
      <c r="F131" t="s">
        <v>83</v>
      </c>
      <c r="G131" t="s">
        <v>28</v>
      </c>
      <c r="H131" t="s">
        <v>36</v>
      </c>
      <c r="I131">
        <v>11898</v>
      </c>
      <c r="J131">
        <v>3</v>
      </c>
      <c r="K131">
        <v>4.5999999999999996</v>
      </c>
      <c r="L131">
        <v>2</v>
      </c>
      <c r="M131" t="s">
        <v>126</v>
      </c>
    </row>
    <row r="132" spans="1:13" x14ac:dyDescent="0.2">
      <c r="A132" t="s">
        <v>323</v>
      </c>
      <c r="B132" t="s">
        <v>324</v>
      </c>
      <c r="C132" t="s">
        <v>170</v>
      </c>
      <c r="D132" t="s">
        <v>97</v>
      </c>
      <c r="E132" t="s">
        <v>35</v>
      </c>
      <c r="F132" t="s">
        <v>100</v>
      </c>
      <c r="G132" t="s">
        <v>104</v>
      </c>
      <c r="H132" t="s">
        <v>20</v>
      </c>
      <c r="I132">
        <v>121614</v>
      </c>
      <c r="J132">
        <v>3</v>
      </c>
      <c r="K132">
        <v>4</v>
      </c>
      <c r="L132">
        <v>3</v>
      </c>
      <c r="M132" t="s">
        <v>21</v>
      </c>
    </row>
    <row r="133" spans="1:13" x14ac:dyDescent="0.2">
      <c r="A133" t="s">
        <v>325</v>
      </c>
      <c r="B133" t="s">
        <v>326</v>
      </c>
      <c r="C133" t="s">
        <v>122</v>
      </c>
      <c r="D133" t="s">
        <v>51</v>
      </c>
      <c r="E133" t="s">
        <v>52</v>
      </c>
      <c r="F133" t="s">
        <v>83</v>
      </c>
      <c r="G133" t="s">
        <v>104</v>
      </c>
      <c r="H133" t="s">
        <v>36</v>
      </c>
      <c r="I133">
        <v>12104</v>
      </c>
      <c r="J133">
        <v>8</v>
      </c>
      <c r="K133">
        <v>4.9000000000000004</v>
      </c>
      <c r="L133">
        <v>8</v>
      </c>
      <c r="M133" t="s">
        <v>65</v>
      </c>
    </row>
    <row r="134" spans="1:13" x14ac:dyDescent="0.2">
      <c r="A134" t="s">
        <v>327</v>
      </c>
      <c r="B134" t="s">
        <v>211</v>
      </c>
      <c r="C134" t="s">
        <v>129</v>
      </c>
      <c r="D134" t="s">
        <v>218</v>
      </c>
      <c r="E134" t="s">
        <v>17</v>
      </c>
      <c r="F134" t="s">
        <v>60</v>
      </c>
      <c r="G134" t="s">
        <v>104</v>
      </c>
      <c r="H134" t="s">
        <v>36</v>
      </c>
      <c r="I134">
        <v>7080</v>
      </c>
      <c r="J134">
        <v>8</v>
      </c>
      <c r="K134">
        <v>3.4</v>
      </c>
      <c r="L134">
        <v>5</v>
      </c>
      <c r="M134" t="s">
        <v>65</v>
      </c>
    </row>
    <row r="135" spans="1:13" x14ac:dyDescent="0.2">
      <c r="A135" t="s">
        <v>328</v>
      </c>
      <c r="B135" t="s">
        <v>102</v>
      </c>
      <c r="C135" t="s">
        <v>45</v>
      </c>
      <c r="D135" t="s">
        <v>41</v>
      </c>
      <c r="E135" t="s">
        <v>42</v>
      </c>
      <c r="F135" t="s">
        <v>27</v>
      </c>
      <c r="G135" t="s">
        <v>54</v>
      </c>
      <c r="H135" t="s">
        <v>20</v>
      </c>
      <c r="I135">
        <v>15456</v>
      </c>
      <c r="J135">
        <v>4</v>
      </c>
      <c r="K135">
        <v>4</v>
      </c>
      <c r="L135">
        <v>5</v>
      </c>
      <c r="M135" t="s">
        <v>30</v>
      </c>
    </row>
    <row r="136" spans="1:13" x14ac:dyDescent="0.2">
      <c r="A136" t="s">
        <v>329</v>
      </c>
      <c r="B136" t="s">
        <v>330</v>
      </c>
      <c r="C136" t="s">
        <v>33</v>
      </c>
      <c r="D136" t="s">
        <v>116</v>
      </c>
      <c r="E136" t="s">
        <v>17</v>
      </c>
      <c r="F136" t="s">
        <v>18</v>
      </c>
      <c r="G136" t="s">
        <v>19</v>
      </c>
      <c r="H136" t="s">
        <v>29</v>
      </c>
      <c r="I136">
        <v>8652</v>
      </c>
      <c r="J136">
        <v>6</v>
      </c>
      <c r="K136">
        <v>4.0999999999999996</v>
      </c>
      <c r="L136">
        <v>1</v>
      </c>
      <c r="M136" t="s">
        <v>55</v>
      </c>
    </row>
    <row r="137" spans="1:13" x14ac:dyDescent="0.2">
      <c r="A137" t="s">
        <v>331</v>
      </c>
      <c r="B137" t="s">
        <v>332</v>
      </c>
      <c r="C137" t="s">
        <v>58</v>
      </c>
      <c r="D137" t="s">
        <v>90</v>
      </c>
      <c r="E137" t="s">
        <v>42</v>
      </c>
      <c r="F137" t="s">
        <v>53</v>
      </c>
      <c r="G137" t="s">
        <v>28</v>
      </c>
      <c r="H137" t="s">
        <v>29</v>
      </c>
      <c r="I137">
        <v>11757</v>
      </c>
      <c r="J137">
        <v>3</v>
      </c>
      <c r="K137">
        <v>4.5</v>
      </c>
      <c r="L137">
        <v>5</v>
      </c>
      <c r="M137" t="s">
        <v>80</v>
      </c>
    </row>
    <row r="138" spans="1:13" x14ac:dyDescent="0.2">
      <c r="A138" t="s">
        <v>333</v>
      </c>
      <c r="B138" t="s">
        <v>334</v>
      </c>
      <c r="C138" t="s">
        <v>45</v>
      </c>
      <c r="D138" t="s">
        <v>41</v>
      </c>
      <c r="E138" t="s">
        <v>42</v>
      </c>
      <c r="F138" t="s">
        <v>60</v>
      </c>
      <c r="G138" t="s">
        <v>104</v>
      </c>
      <c r="H138" t="s">
        <v>20</v>
      </c>
      <c r="I138">
        <v>32886</v>
      </c>
      <c r="J138">
        <v>6</v>
      </c>
      <c r="K138">
        <v>4.5999999999999996</v>
      </c>
      <c r="L138">
        <v>1</v>
      </c>
      <c r="M138" t="s">
        <v>55</v>
      </c>
    </row>
    <row r="139" spans="1:13" x14ac:dyDescent="0.2">
      <c r="A139" t="s">
        <v>335</v>
      </c>
      <c r="B139" t="s">
        <v>336</v>
      </c>
      <c r="C139" t="s">
        <v>170</v>
      </c>
      <c r="D139" t="s">
        <v>116</v>
      </c>
      <c r="E139" t="s">
        <v>17</v>
      </c>
      <c r="F139" t="s">
        <v>60</v>
      </c>
      <c r="G139" t="s">
        <v>19</v>
      </c>
      <c r="H139" t="s">
        <v>64</v>
      </c>
      <c r="I139">
        <v>4214</v>
      </c>
      <c r="J139">
        <v>7</v>
      </c>
      <c r="K139">
        <v>3.5</v>
      </c>
      <c r="L139">
        <v>8</v>
      </c>
      <c r="M139" t="s">
        <v>80</v>
      </c>
    </row>
    <row r="140" spans="1:13" x14ac:dyDescent="0.2">
      <c r="A140" t="s">
        <v>337</v>
      </c>
      <c r="B140" t="s">
        <v>271</v>
      </c>
      <c r="C140" t="s">
        <v>112</v>
      </c>
      <c r="D140" t="s">
        <v>51</v>
      </c>
      <c r="E140" t="s">
        <v>52</v>
      </c>
      <c r="F140" t="s">
        <v>60</v>
      </c>
      <c r="G140" t="s">
        <v>104</v>
      </c>
      <c r="H140" t="s">
        <v>20</v>
      </c>
      <c r="I140">
        <v>4040</v>
      </c>
      <c r="J140">
        <v>8</v>
      </c>
      <c r="K140">
        <v>4.2</v>
      </c>
      <c r="L140">
        <v>8</v>
      </c>
      <c r="M140" t="s">
        <v>65</v>
      </c>
    </row>
    <row r="141" spans="1:13" x14ac:dyDescent="0.2">
      <c r="A141" t="s">
        <v>338</v>
      </c>
      <c r="B141" t="s">
        <v>304</v>
      </c>
      <c r="C141" t="s">
        <v>78</v>
      </c>
      <c r="D141" t="s">
        <v>46</v>
      </c>
      <c r="E141" t="s">
        <v>42</v>
      </c>
      <c r="F141" t="s">
        <v>53</v>
      </c>
      <c r="G141" t="s">
        <v>19</v>
      </c>
      <c r="H141" t="s">
        <v>29</v>
      </c>
      <c r="I141">
        <v>27996</v>
      </c>
      <c r="J141">
        <v>6</v>
      </c>
      <c r="K141">
        <v>4.9000000000000004</v>
      </c>
      <c r="L141">
        <v>5</v>
      </c>
      <c r="M141" t="s">
        <v>30</v>
      </c>
    </row>
    <row r="142" spans="1:13" x14ac:dyDescent="0.2">
      <c r="A142" t="s">
        <v>339</v>
      </c>
      <c r="B142" t="s">
        <v>118</v>
      </c>
      <c r="C142" t="s">
        <v>50</v>
      </c>
      <c r="D142" t="s">
        <v>34</v>
      </c>
      <c r="E142" t="s">
        <v>35</v>
      </c>
      <c r="F142" t="s">
        <v>53</v>
      </c>
      <c r="G142" t="s">
        <v>19</v>
      </c>
      <c r="H142" t="s">
        <v>29</v>
      </c>
      <c r="I142">
        <v>385744</v>
      </c>
      <c r="J142">
        <v>8</v>
      </c>
      <c r="K142">
        <v>3.7</v>
      </c>
      <c r="L142">
        <v>7</v>
      </c>
      <c r="M142" t="s">
        <v>119</v>
      </c>
    </row>
    <row r="143" spans="1:13" x14ac:dyDescent="0.2">
      <c r="A143" t="s">
        <v>340</v>
      </c>
      <c r="B143" t="s">
        <v>290</v>
      </c>
      <c r="C143" t="s">
        <v>78</v>
      </c>
      <c r="D143" t="s">
        <v>218</v>
      </c>
      <c r="E143" t="s">
        <v>17</v>
      </c>
      <c r="F143" t="s">
        <v>27</v>
      </c>
      <c r="G143" t="s">
        <v>104</v>
      </c>
      <c r="H143" t="s">
        <v>20</v>
      </c>
      <c r="I143">
        <v>7230</v>
      </c>
      <c r="J143">
        <v>6</v>
      </c>
      <c r="K143">
        <v>4.7</v>
      </c>
      <c r="L143">
        <v>5</v>
      </c>
      <c r="M143" t="s">
        <v>87</v>
      </c>
    </row>
    <row r="144" spans="1:13" x14ac:dyDescent="0.2">
      <c r="A144" t="s">
        <v>341</v>
      </c>
      <c r="B144" t="s">
        <v>342</v>
      </c>
      <c r="C144" t="s">
        <v>170</v>
      </c>
      <c r="D144" t="s">
        <v>86</v>
      </c>
      <c r="E144" t="s">
        <v>17</v>
      </c>
      <c r="F144" t="s">
        <v>27</v>
      </c>
      <c r="G144" t="s">
        <v>28</v>
      </c>
      <c r="H144" t="s">
        <v>36</v>
      </c>
      <c r="I144">
        <v>1671</v>
      </c>
      <c r="J144">
        <v>1</v>
      </c>
      <c r="K144">
        <v>3.3</v>
      </c>
      <c r="L144">
        <v>7</v>
      </c>
      <c r="M144" t="s">
        <v>21</v>
      </c>
    </row>
    <row r="145" spans="1:13" x14ac:dyDescent="0.2">
      <c r="A145" t="s">
        <v>343</v>
      </c>
      <c r="B145" t="s">
        <v>344</v>
      </c>
      <c r="C145" t="s">
        <v>75</v>
      </c>
      <c r="D145" t="s">
        <v>147</v>
      </c>
      <c r="E145" t="s">
        <v>52</v>
      </c>
      <c r="F145" t="s">
        <v>27</v>
      </c>
      <c r="G145" t="s">
        <v>19</v>
      </c>
      <c r="H145" t="s">
        <v>36</v>
      </c>
      <c r="I145">
        <v>6594</v>
      </c>
      <c r="J145">
        <v>3</v>
      </c>
      <c r="K145">
        <v>3.8</v>
      </c>
      <c r="L145">
        <v>1</v>
      </c>
      <c r="M145" t="s">
        <v>30</v>
      </c>
    </row>
    <row r="146" spans="1:13" x14ac:dyDescent="0.2">
      <c r="A146" t="s">
        <v>345</v>
      </c>
      <c r="B146" t="s">
        <v>346</v>
      </c>
      <c r="C146" t="s">
        <v>170</v>
      </c>
      <c r="D146" t="s">
        <v>51</v>
      </c>
      <c r="E146" t="s">
        <v>52</v>
      </c>
      <c r="F146" t="s">
        <v>53</v>
      </c>
      <c r="G146" t="s">
        <v>28</v>
      </c>
      <c r="H146" t="s">
        <v>64</v>
      </c>
      <c r="I146">
        <v>2279</v>
      </c>
      <c r="J146">
        <v>1</v>
      </c>
      <c r="K146">
        <v>3.2</v>
      </c>
      <c r="L146">
        <v>2</v>
      </c>
      <c r="M146" t="s">
        <v>37</v>
      </c>
    </row>
    <row r="147" spans="1:13" x14ac:dyDescent="0.2">
      <c r="A147" t="s">
        <v>347</v>
      </c>
      <c r="B147" t="s">
        <v>348</v>
      </c>
      <c r="C147" t="s">
        <v>15</v>
      </c>
      <c r="D147" t="s">
        <v>51</v>
      </c>
      <c r="E147" t="s">
        <v>52</v>
      </c>
      <c r="F147" t="s">
        <v>27</v>
      </c>
      <c r="G147" t="s">
        <v>104</v>
      </c>
      <c r="H147" t="s">
        <v>29</v>
      </c>
      <c r="I147">
        <v>6416</v>
      </c>
      <c r="J147">
        <v>4</v>
      </c>
      <c r="K147">
        <v>3.7</v>
      </c>
      <c r="L147">
        <v>3</v>
      </c>
      <c r="M147" t="s">
        <v>21</v>
      </c>
    </row>
    <row r="148" spans="1:13" x14ac:dyDescent="0.2">
      <c r="A148" t="s">
        <v>349</v>
      </c>
      <c r="B148" t="s">
        <v>350</v>
      </c>
      <c r="C148" t="s">
        <v>72</v>
      </c>
      <c r="D148" t="s">
        <v>79</v>
      </c>
      <c r="E148" t="s">
        <v>26</v>
      </c>
      <c r="F148" t="s">
        <v>60</v>
      </c>
      <c r="G148" t="s">
        <v>104</v>
      </c>
      <c r="H148" t="s">
        <v>20</v>
      </c>
      <c r="I148">
        <v>51569</v>
      </c>
      <c r="J148">
        <v>7</v>
      </c>
      <c r="K148">
        <v>4.4000000000000004</v>
      </c>
      <c r="L148">
        <v>3</v>
      </c>
      <c r="M148" t="s">
        <v>80</v>
      </c>
    </row>
    <row r="149" spans="1:13" x14ac:dyDescent="0.2">
      <c r="A149" t="s">
        <v>351</v>
      </c>
      <c r="B149" t="s">
        <v>352</v>
      </c>
      <c r="C149" t="s">
        <v>103</v>
      </c>
      <c r="D149" t="s">
        <v>218</v>
      </c>
      <c r="E149" t="s">
        <v>17</v>
      </c>
      <c r="F149" t="s">
        <v>27</v>
      </c>
      <c r="G149" t="s">
        <v>104</v>
      </c>
      <c r="H149" t="s">
        <v>20</v>
      </c>
      <c r="I149">
        <v>4856</v>
      </c>
      <c r="J149">
        <v>4</v>
      </c>
      <c r="K149">
        <v>4.5</v>
      </c>
      <c r="L149">
        <v>1</v>
      </c>
      <c r="M149" t="s">
        <v>55</v>
      </c>
    </row>
    <row r="150" spans="1:13" x14ac:dyDescent="0.2">
      <c r="A150" t="s">
        <v>353</v>
      </c>
      <c r="B150" t="s">
        <v>354</v>
      </c>
      <c r="C150" t="s">
        <v>129</v>
      </c>
      <c r="D150" t="s">
        <v>16</v>
      </c>
      <c r="E150" t="s">
        <v>17</v>
      </c>
      <c r="F150" t="s">
        <v>100</v>
      </c>
      <c r="G150" t="s">
        <v>19</v>
      </c>
      <c r="H150" t="s">
        <v>20</v>
      </c>
      <c r="I150">
        <v>3135</v>
      </c>
      <c r="J150">
        <v>5</v>
      </c>
      <c r="K150">
        <v>4.3</v>
      </c>
      <c r="L150">
        <v>5</v>
      </c>
      <c r="M150" t="s">
        <v>47</v>
      </c>
    </row>
    <row r="151" spans="1:13" x14ac:dyDescent="0.2">
      <c r="A151" t="s">
        <v>355</v>
      </c>
      <c r="B151" t="s">
        <v>356</v>
      </c>
      <c r="C151" t="s">
        <v>122</v>
      </c>
      <c r="D151" t="s">
        <v>51</v>
      </c>
      <c r="E151" t="s">
        <v>52</v>
      </c>
      <c r="F151" t="s">
        <v>27</v>
      </c>
      <c r="G151" t="s">
        <v>54</v>
      </c>
      <c r="H151" t="s">
        <v>64</v>
      </c>
      <c r="I151">
        <v>14240</v>
      </c>
      <c r="J151">
        <v>8</v>
      </c>
      <c r="K151">
        <v>4.5999999999999996</v>
      </c>
      <c r="L151">
        <v>4</v>
      </c>
      <c r="M151" t="s">
        <v>80</v>
      </c>
    </row>
    <row r="152" spans="1:13" x14ac:dyDescent="0.2">
      <c r="A152" t="s">
        <v>357</v>
      </c>
      <c r="B152" t="s">
        <v>263</v>
      </c>
      <c r="C152" t="s">
        <v>170</v>
      </c>
      <c r="D152" t="s">
        <v>59</v>
      </c>
      <c r="E152" t="s">
        <v>26</v>
      </c>
      <c r="F152" t="s">
        <v>100</v>
      </c>
      <c r="G152" t="s">
        <v>28</v>
      </c>
      <c r="H152" t="s">
        <v>36</v>
      </c>
      <c r="I152">
        <v>20366</v>
      </c>
      <c r="J152">
        <v>2</v>
      </c>
      <c r="K152">
        <v>4.2</v>
      </c>
      <c r="L152">
        <v>3</v>
      </c>
      <c r="M152" t="s">
        <v>87</v>
      </c>
    </row>
    <row r="153" spans="1:13" x14ac:dyDescent="0.2">
      <c r="A153" t="s">
        <v>358</v>
      </c>
      <c r="B153" t="s">
        <v>359</v>
      </c>
      <c r="C153" t="s">
        <v>78</v>
      </c>
      <c r="D153" t="s">
        <v>51</v>
      </c>
      <c r="E153" t="s">
        <v>52</v>
      </c>
      <c r="F153" t="s">
        <v>60</v>
      </c>
      <c r="G153" t="s">
        <v>104</v>
      </c>
      <c r="H153" t="s">
        <v>36</v>
      </c>
      <c r="I153">
        <v>16856</v>
      </c>
      <c r="J153">
        <v>8</v>
      </c>
      <c r="K153">
        <v>4</v>
      </c>
      <c r="L153">
        <v>1</v>
      </c>
      <c r="M153" t="s">
        <v>87</v>
      </c>
    </row>
    <row r="154" spans="1:13" x14ac:dyDescent="0.2">
      <c r="A154" t="s">
        <v>360</v>
      </c>
      <c r="B154" t="s">
        <v>361</v>
      </c>
      <c r="C154" t="s">
        <v>75</v>
      </c>
      <c r="D154" t="s">
        <v>46</v>
      </c>
      <c r="E154" t="s">
        <v>42</v>
      </c>
      <c r="F154" t="s">
        <v>60</v>
      </c>
      <c r="G154" t="s">
        <v>54</v>
      </c>
      <c r="H154" t="s">
        <v>29</v>
      </c>
      <c r="I154">
        <v>16680</v>
      </c>
      <c r="J154">
        <v>4</v>
      </c>
      <c r="K154">
        <v>4.5</v>
      </c>
      <c r="L154">
        <v>1</v>
      </c>
      <c r="M154" t="s">
        <v>144</v>
      </c>
    </row>
    <row r="155" spans="1:13" x14ac:dyDescent="0.2">
      <c r="A155" t="s">
        <v>362</v>
      </c>
      <c r="B155" t="s">
        <v>363</v>
      </c>
      <c r="C155" t="s">
        <v>129</v>
      </c>
      <c r="D155" t="s">
        <v>159</v>
      </c>
      <c r="E155" t="s">
        <v>42</v>
      </c>
      <c r="F155" t="s">
        <v>18</v>
      </c>
      <c r="G155" t="s">
        <v>19</v>
      </c>
      <c r="H155" t="s">
        <v>64</v>
      </c>
      <c r="I155">
        <v>26544</v>
      </c>
      <c r="J155">
        <v>7</v>
      </c>
      <c r="K155">
        <v>3.3</v>
      </c>
      <c r="L155">
        <v>3</v>
      </c>
      <c r="M155" t="s">
        <v>80</v>
      </c>
    </row>
    <row r="156" spans="1:13" x14ac:dyDescent="0.2">
      <c r="A156" t="s">
        <v>364</v>
      </c>
      <c r="B156" t="s">
        <v>365</v>
      </c>
      <c r="C156" t="s">
        <v>122</v>
      </c>
      <c r="D156" t="s">
        <v>79</v>
      </c>
      <c r="E156" t="s">
        <v>26</v>
      </c>
      <c r="F156" t="s">
        <v>60</v>
      </c>
      <c r="G156" t="s">
        <v>104</v>
      </c>
      <c r="H156" t="s">
        <v>20</v>
      </c>
      <c r="I156">
        <v>7748</v>
      </c>
      <c r="J156">
        <v>1</v>
      </c>
      <c r="K156">
        <v>4.2</v>
      </c>
      <c r="L156">
        <v>4</v>
      </c>
      <c r="M156" t="s">
        <v>37</v>
      </c>
    </row>
    <row r="157" spans="1:13" x14ac:dyDescent="0.2">
      <c r="A157" t="s">
        <v>366</v>
      </c>
      <c r="B157" t="s">
        <v>367</v>
      </c>
      <c r="C157" t="s">
        <v>45</v>
      </c>
      <c r="D157" t="s">
        <v>34</v>
      </c>
      <c r="E157" t="s">
        <v>35</v>
      </c>
      <c r="F157" t="s">
        <v>18</v>
      </c>
      <c r="G157" t="s">
        <v>28</v>
      </c>
      <c r="H157" t="s">
        <v>36</v>
      </c>
      <c r="I157">
        <v>83099</v>
      </c>
      <c r="J157">
        <v>1</v>
      </c>
      <c r="K157">
        <v>3.6</v>
      </c>
      <c r="L157">
        <v>2</v>
      </c>
      <c r="M157" t="s">
        <v>87</v>
      </c>
    </row>
    <row r="158" spans="1:13" x14ac:dyDescent="0.2">
      <c r="A158" t="s">
        <v>368</v>
      </c>
      <c r="B158" t="s">
        <v>369</v>
      </c>
      <c r="C158" t="s">
        <v>122</v>
      </c>
      <c r="D158" t="s">
        <v>147</v>
      </c>
      <c r="E158" t="s">
        <v>52</v>
      </c>
      <c r="F158" t="s">
        <v>27</v>
      </c>
      <c r="G158" t="s">
        <v>104</v>
      </c>
      <c r="H158" t="s">
        <v>29</v>
      </c>
      <c r="I158">
        <v>19680</v>
      </c>
      <c r="J158">
        <v>8</v>
      </c>
      <c r="K158">
        <v>4.0999999999999996</v>
      </c>
      <c r="L158">
        <v>5</v>
      </c>
      <c r="M158" t="s">
        <v>55</v>
      </c>
    </row>
    <row r="159" spans="1:13" x14ac:dyDescent="0.2">
      <c r="A159" t="s">
        <v>370</v>
      </c>
      <c r="B159" t="s">
        <v>371</v>
      </c>
      <c r="C159" t="s">
        <v>133</v>
      </c>
      <c r="D159" t="s">
        <v>109</v>
      </c>
      <c r="E159" t="s">
        <v>52</v>
      </c>
      <c r="F159" t="s">
        <v>100</v>
      </c>
      <c r="G159" t="s">
        <v>28</v>
      </c>
      <c r="H159" t="s">
        <v>36</v>
      </c>
      <c r="I159">
        <v>5920</v>
      </c>
      <c r="J159">
        <v>4</v>
      </c>
      <c r="K159">
        <v>4.9000000000000004</v>
      </c>
      <c r="L159">
        <v>3</v>
      </c>
      <c r="M159" t="s">
        <v>80</v>
      </c>
    </row>
    <row r="160" spans="1:13" x14ac:dyDescent="0.2">
      <c r="A160" t="s">
        <v>372</v>
      </c>
      <c r="B160" t="s">
        <v>373</v>
      </c>
      <c r="C160" t="s">
        <v>122</v>
      </c>
      <c r="D160" t="s">
        <v>97</v>
      </c>
      <c r="E160" t="s">
        <v>35</v>
      </c>
      <c r="F160" t="s">
        <v>83</v>
      </c>
      <c r="G160" t="s">
        <v>104</v>
      </c>
      <c r="H160" t="s">
        <v>20</v>
      </c>
      <c r="I160">
        <v>336066</v>
      </c>
      <c r="J160">
        <v>6</v>
      </c>
      <c r="K160">
        <v>3.9</v>
      </c>
      <c r="L160">
        <v>8</v>
      </c>
      <c r="M160" t="s">
        <v>65</v>
      </c>
    </row>
    <row r="161" spans="1:13" x14ac:dyDescent="0.2">
      <c r="A161" t="s">
        <v>374</v>
      </c>
      <c r="B161" t="s">
        <v>23</v>
      </c>
      <c r="C161" t="s">
        <v>75</v>
      </c>
      <c r="D161" t="s">
        <v>41</v>
      </c>
      <c r="E161" t="s">
        <v>42</v>
      </c>
      <c r="F161" t="s">
        <v>60</v>
      </c>
      <c r="G161" t="s">
        <v>104</v>
      </c>
      <c r="H161" t="s">
        <v>36</v>
      </c>
      <c r="I161">
        <v>27167</v>
      </c>
      <c r="J161">
        <v>7</v>
      </c>
      <c r="K161">
        <v>3.7</v>
      </c>
      <c r="L161">
        <v>6</v>
      </c>
      <c r="M161" t="s">
        <v>30</v>
      </c>
    </row>
    <row r="162" spans="1:13" x14ac:dyDescent="0.2">
      <c r="A162" t="s">
        <v>375</v>
      </c>
      <c r="B162" t="s">
        <v>376</v>
      </c>
      <c r="C162" t="s">
        <v>125</v>
      </c>
      <c r="D162" t="s">
        <v>79</v>
      </c>
      <c r="E162" t="s">
        <v>26</v>
      </c>
      <c r="F162" t="s">
        <v>83</v>
      </c>
      <c r="G162" t="s">
        <v>104</v>
      </c>
      <c r="H162" t="s">
        <v>29</v>
      </c>
      <c r="I162">
        <v>52130</v>
      </c>
      <c r="J162">
        <v>5</v>
      </c>
      <c r="K162">
        <v>4.5</v>
      </c>
      <c r="L162">
        <v>4</v>
      </c>
      <c r="M162" t="s">
        <v>144</v>
      </c>
    </row>
    <row r="163" spans="1:13" x14ac:dyDescent="0.2">
      <c r="A163" t="s">
        <v>377</v>
      </c>
      <c r="B163" t="s">
        <v>89</v>
      </c>
      <c r="C163" t="s">
        <v>40</v>
      </c>
      <c r="D163" t="s">
        <v>86</v>
      </c>
      <c r="E163" t="s">
        <v>17</v>
      </c>
      <c r="F163" t="s">
        <v>60</v>
      </c>
      <c r="G163" t="s">
        <v>28</v>
      </c>
      <c r="H163" t="s">
        <v>29</v>
      </c>
      <c r="I163">
        <v>2560</v>
      </c>
      <c r="J163">
        <v>2</v>
      </c>
      <c r="K163">
        <v>4.8</v>
      </c>
      <c r="L163">
        <v>6</v>
      </c>
      <c r="M163" t="s">
        <v>37</v>
      </c>
    </row>
    <row r="164" spans="1:13" x14ac:dyDescent="0.2">
      <c r="A164" t="s">
        <v>378</v>
      </c>
      <c r="B164" t="s">
        <v>379</v>
      </c>
      <c r="C164" t="s">
        <v>33</v>
      </c>
      <c r="D164" t="s">
        <v>130</v>
      </c>
      <c r="E164" t="s">
        <v>35</v>
      </c>
      <c r="F164" t="s">
        <v>100</v>
      </c>
      <c r="G164" t="s">
        <v>19</v>
      </c>
      <c r="H164" t="s">
        <v>20</v>
      </c>
      <c r="I164">
        <v>512296</v>
      </c>
      <c r="J164">
        <v>8</v>
      </c>
      <c r="K164">
        <v>3.9</v>
      </c>
      <c r="L164">
        <v>7</v>
      </c>
      <c r="M164" t="s">
        <v>55</v>
      </c>
    </row>
    <row r="165" spans="1:13" x14ac:dyDescent="0.2">
      <c r="A165" t="s">
        <v>380</v>
      </c>
      <c r="B165" t="s">
        <v>381</v>
      </c>
      <c r="C165" t="s">
        <v>125</v>
      </c>
      <c r="D165" t="s">
        <v>218</v>
      </c>
      <c r="E165" t="s">
        <v>17</v>
      </c>
      <c r="F165" t="s">
        <v>100</v>
      </c>
      <c r="G165" t="s">
        <v>104</v>
      </c>
      <c r="H165" t="s">
        <v>29</v>
      </c>
      <c r="I165">
        <v>6328</v>
      </c>
      <c r="J165">
        <v>7</v>
      </c>
      <c r="K165">
        <v>3.9</v>
      </c>
      <c r="L165">
        <v>4</v>
      </c>
      <c r="M165" t="s">
        <v>30</v>
      </c>
    </row>
    <row r="166" spans="1:13" x14ac:dyDescent="0.2">
      <c r="A166" t="s">
        <v>382</v>
      </c>
      <c r="B166" t="s">
        <v>383</v>
      </c>
      <c r="C166" t="s">
        <v>112</v>
      </c>
      <c r="D166" t="s">
        <v>90</v>
      </c>
      <c r="E166" t="s">
        <v>42</v>
      </c>
      <c r="F166" t="s">
        <v>18</v>
      </c>
      <c r="G166" t="s">
        <v>54</v>
      </c>
      <c r="H166" t="s">
        <v>36</v>
      </c>
      <c r="I166">
        <v>5538</v>
      </c>
      <c r="J166">
        <v>3</v>
      </c>
      <c r="K166">
        <v>4.0999999999999996</v>
      </c>
      <c r="L166">
        <v>1</v>
      </c>
      <c r="M166" t="s">
        <v>47</v>
      </c>
    </row>
    <row r="167" spans="1:13" x14ac:dyDescent="0.2">
      <c r="A167" t="s">
        <v>384</v>
      </c>
      <c r="B167" t="s">
        <v>385</v>
      </c>
      <c r="C167" t="s">
        <v>45</v>
      </c>
      <c r="D167" t="s">
        <v>116</v>
      </c>
      <c r="E167" t="s">
        <v>17</v>
      </c>
      <c r="F167" t="s">
        <v>27</v>
      </c>
      <c r="G167" t="s">
        <v>28</v>
      </c>
      <c r="H167" t="s">
        <v>64</v>
      </c>
      <c r="I167">
        <v>1756</v>
      </c>
      <c r="J167">
        <v>4</v>
      </c>
      <c r="K167">
        <v>4</v>
      </c>
      <c r="L167">
        <v>1</v>
      </c>
      <c r="M167" t="s">
        <v>80</v>
      </c>
    </row>
    <row r="168" spans="1:13" x14ac:dyDescent="0.2">
      <c r="A168" t="s">
        <v>386</v>
      </c>
      <c r="B168" t="s">
        <v>387</v>
      </c>
      <c r="C168" t="s">
        <v>112</v>
      </c>
      <c r="D168" t="s">
        <v>16</v>
      </c>
      <c r="E168" t="s">
        <v>17</v>
      </c>
      <c r="F168" t="s">
        <v>27</v>
      </c>
      <c r="G168" t="s">
        <v>28</v>
      </c>
      <c r="H168" t="s">
        <v>20</v>
      </c>
      <c r="I168">
        <v>2268</v>
      </c>
      <c r="J168">
        <v>7</v>
      </c>
      <c r="K168">
        <v>5</v>
      </c>
      <c r="L168">
        <v>1</v>
      </c>
      <c r="M168" t="s">
        <v>65</v>
      </c>
    </row>
    <row r="169" spans="1:13" x14ac:dyDescent="0.2">
      <c r="A169" t="s">
        <v>388</v>
      </c>
      <c r="B169" t="s">
        <v>373</v>
      </c>
      <c r="C169" t="s">
        <v>50</v>
      </c>
      <c r="D169" t="s">
        <v>16</v>
      </c>
      <c r="E169" t="s">
        <v>17</v>
      </c>
      <c r="F169" t="s">
        <v>18</v>
      </c>
      <c r="G169" t="s">
        <v>104</v>
      </c>
      <c r="H169" t="s">
        <v>64</v>
      </c>
      <c r="I169">
        <v>2379</v>
      </c>
      <c r="J169">
        <v>3</v>
      </c>
      <c r="K169">
        <v>4.7</v>
      </c>
      <c r="L169">
        <v>5</v>
      </c>
      <c r="M169" t="s">
        <v>65</v>
      </c>
    </row>
    <row r="170" spans="1:13" x14ac:dyDescent="0.2">
      <c r="A170" t="s">
        <v>389</v>
      </c>
      <c r="B170" t="s">
        <v>298</v>
      </c>
      <c r="C170" t="s">
        <v>33</v>
      </c>
      <c r="D170" t="s">
        <v>159</v>
      </c>
      <c r="E170" t="s">
        <v>42</v>
      </c>
      <c r="F170" t="s">
        <v>27</v>
      </c>
      <c r="G170" t="s">
        <v>54</v>
      </c>
      <c r="H170" t="s">
        <v>20</v>
      </c>
      <c r="I170">
        <v>5860</v>
      </c>
      <c r="J170">
        <v>4</v>
      </c>
      <c r="K170">
        <v>3.9</v>
      </c>
      <c r="L170">
        <v>8</v>
      </c>
      <c r="M170" t="s">
        <v>119</v>
      </c>
    </row>
    <row r="171" spans="1:13" x14ac:dyDescent="0.2">
      <c r="A171" t="s">
        <v>390</v>
      </c>
      <c r="B171" t="s">
        <v>391</v>
      </c>
      <c r="C171" t="s">
        <v>103</v>
      </c>
      <c r="D171" t="s">
        <v>116</v>
      </c>
      <c r="E171" t="s">
        <v>17</v>
      </c>
      <c r="F171" t="s">
        <v>18</v>
      </c>
      <c r="G171" t="s">
        <v>54</v>
      </c>
      <c r="H171" t="s">
        <v>29</v>
      </c>
      <c r="I171">
        <v>8748</v>
      </c>
      <c r="J171">
        <v>6</v>
      </c>
      <c r="K171">
        <v>3.6</v>
      </c>
      <c r="L171">
        <v>8</v>
      </c>
      <c r="M171" t="s">
        <v>47</v>
      </c>
    </row>
    <row r="172" spans="1:13" x14ac:dyDescent="0.2">
      <c r="A172" t="s">
        <v>392</v>
      </c>
      <c r="B172" t="s">
        <v>393</v>
      </c>
      <c r="C172" t="s">
        <v>24</v>
      </c>
      <c r="D172" t="s">
        <v>25</v>
      </c>
      <c r="E172" t="s">
        <v>26</v>
      </c>
      <c r="F172" t="s">
        <v>100</v>
      </c>
      <c r="G172" t="s">
        <v>19</v>
      </c>
      <c r="H172" t="s">
        <v>64</v>
      </c>
      <c r="I172">
        <v>43950</v>
      </c>
      <c r="J172">
        <v>6</v>
      </c>
      <c r="K172">
        <v>4.9000000000000004</v>
      </c>
      <c r="L172">
        <v>5</v>
      </c>
      <c r="M172" t="s">
        <v>37</v>
      </c>
    </row>
    <row r="173" spans="1:13" x14ac:dyDescent="0.2">
      <c r="A173" t="s">
        <v>394</v>
      </c>
      <c r="B173" t="s">
        <v>352</v>
      </c>
      <c r="C173" t="s">
        <v>75</v>
      </c>
      <c r="D173" t="s">
        <v>59</v>
      </c>
      <c r="E173" t="s">
        <v>26</v>
      </c>
      <c r="F173" t="s">
        <v>53</v>
      </c>
      <c r="G173" t="s">
        <v>28</v>
      </c>
      <c r="H173" t="s">
        <v>29</v>
      </c>
      <c r="I173">
        <v>5037</v>
      </c>
      <c r="J173">
        <v>3</v>
      </c>
      <c r="K173">
        <v>3.4</v>
      </c>
      <c r="L173">
        <v>4</v>
      </c>
      <c r="M173" t="s">
        <v>55</v>
      </c>
    </row>
    <row r="174" spans="1:13" x14ac:dyDescent="0.2">
      <c r="A174" t="s">
        <v>395</v>
      </c>
      <c r="B174" t="s">
        <v>396</v>
      </c>
      <c r="C174" t="s">
        <v>75</v>
      </c>
      <c r="D174" t="s">
        <v>218</v>
      </c>
      <c r="E174" t="s">
        <v>17</v>
      </c>
      <c r="F174" t="s">
        <v>100</v>
      </c>
      <c r="G174" t="s">
        <v>104</v>
      </c>
      <c r="H174" t="s">
        <v>20</v>
      </c>
      <c r="I174">
        <v>6136</v>
      </c>
      <c r="J174">
        <v>8</v>
      </c>
      <c r="K174">
        <v>3.5</v>
      </c>
      <c r="L174">
        <v>7</v>
      </c>
      <c r="M174" t="s">
        <v>47</v>
      </c>
    </row>
    <row r="175" spans="1:13" x14ac:dyDescent="0.2">
      <c r="A175" t="s">
        <v>397</v>
      </c>
      <c r="B175" t="s">
        <v>398</v>
      </c>
      <c r="C175" t="s">
        <v>40</v>
      </c>
      <c r="D175" t="s">
        <v>16</v>
      </c>
      <c r="E175" t="s">
        <v>17</v>
      </c>
      <c r="F175" t="s">
        <v>60</v>
      </c>
      <c r="G175" t="s">
        <v>104</v>
      </c>
      <c r="H175" t="s">
        <v>29</v>
      </c>
      <c r="I175">
        <v>3234</v>
      </c>
      <c r="J175">
        <v>3</v>
      </c>
      <c r="K175">
        <v>3.4</v>
      </c>
      <c r="L175">
        <v>1</v>
      </c>
      <c r="M175" t="s">
        <v>21</v>
      </c>
    </row>
    <row r="176" spans="1:13" x14ac:dyDescent="0.2">
      <c r="A176" t="s">
        <v>399</v>
      </c>
      <c r="B176" t="s">
        <v>400</v>
      </c>
      <c r="C176" t="s">
        <v>75</v>
      </c>
      <c r="D176" t="s">
        <v>86</v>
      </c>
      <c r="E176" t="s">
        <v>17</v>
      </c>
      <c r="F176" t="s">
        <v>53</v>
      </c>
      <c r="G176" t="s">
        <v>54</v>
      </c>
      <c r="H176" t="s">
        <v>29</v>
      </c>
      <c r="I176">
        <v>3546</v>
      </c>
      <c r="J176">
        <v>3</v>
      </c>
      <c r="K176">
        <v>3.9</v>
      </c>
      <c r="L176">
        <v>1</v>
      </c>
      <c r="M176" t="s">
        <v>87</v>
      </c>
    </row>
    <row r="177" spans="1:13" x14ac:dyDescent="0.2">
      <c r="A177" t="s">
        <v>401</v>
      </c>
      <c r="B177" t="s">
        <v>402</v>
      </c>
      <c r="C177" t="s">
        <v>24</v>
      </c>
      <c r="D177" t="s">
        <v>41</v>
      </c>
      <c r="E177" t="s">
        <v>42</v>
      </c>
      <c r="F177" t="s">
        <v>83</v>
      </c>
      <c r="G177" t="s">
        <v>104</v>
      </c>
      <c r="H177" t="s">
        <v>29</v>
      </c>
      <c r="I177">
        <v>18816</v>
      </c>
      <c r="J177">
        <v>7</v>
      </c>
      <c r="K177">
        <v>4.0999999999999996</v>
      </c>
      <c r="L177">
        <v>7</v>
      </c>
      <c r="M177" t="s">
        <v>21</v>
      </c>
    </row>
    <row r="178" spans="1:13" x14ac:dyDescent="0.2">
      <c r="A178" t="s">
        <v>403</v>
      </c>
      <c r="B178" t="s">
        <v>404</v>
      </c>
      <c r="C178" t="s">
        <v>129</v>
      </c>
      <c r="D178" t="s">
        <v>97</v>
      </c>
      <c r="E178" t="s">
        <v>35</v>
      </c>
      <c r="F178" t="s">
        <v>53</v>
      </c>
      <c r="G178" t="s">
        <v>19</v>
      </c>
      <c r="H178" t="s">
        <v>64</v>
      </c>
      <c r="I178">
        <v>77340</v>
      </c>
      <c r="J178">
        <v>2</v>
      </c>
      <c r="K178">
        <v>4.0999999999999996</v>
      </c>
      <c r="L178">
        <v>2</v>
      </c>
      <c r="M178" t="s">
        <v>80</v>
      </c>
    </row>
    <row r="179" spans="1:13" x14ac:dyDescent="0.2">
      <c r="A179" t="s">
        <v>405</v>
      </c>
      <c r="B179" t="s">
        <v>406</v>
      </c>
      <c r="C179" t="s">
        <v>170</v>
      </c>
      <c r="D179" t="s">
        <v>79</v>
      </c>
      <c r="E179" t="s">
        <v>26</v>
      </c>
      <c r="F179" t="s">
        <v>60</v>
      </c>
      <c r="G179" t="s">
        <v>104</v>
      </c>
      <c r="H179" t="s">
        <v>64</v>
      </c>
      <c r="I179">
        <v>12486</v>
      </c>
      <c r="J179">
        <v>2</v>
      </c>
      <c r="K179">
        <v>4.7</v>
      </c>
      <c r="L179">
        <v>7</v>
      </c>
      <c r="M179" t="s">
        <v>47</v>
      </c>
    </row>
    <row r="180" spans="1:13" x14ac:dyDescent="0.2">
      <c r="A180" t="s">
        <v>407</v>
      </c>
      <c r="B180" t="s">
        <v>408</v>
      </c>
      <c r="C180" t="s">
        <v>40</v>
      </c>
      <c r="D180" t="s">
        <v>79</v>
      </c>
      <c r="E180" t="s">
        <v>26</v>
      </c>
      <c r="F180" t="s">
        <v>27</v>
      </c>
      <c r="G180" t="s">
        <v>28</v>
      </c>
      <c r="H180" t="s">
        <v>20</v>
      </c>
      <c r="I180">
        <v>22260</v>
      </c>
      <c r="J180">
        <v>6</v>
      </c>
      <c r="K180">
        <v>4.9000000000000004</v>
      </c>
      <c r="L180">
        <v>6</v>
      </c>
      <c r="M180" t="s">
        <v>126</v>
      </c>
    </row>
    <row r="181" spans="1:13" x14ac:dyDescent="0.2">
      <c r="A181" t="s">
        <v>409</v>
      </c>
      <c r="B181" t="s">
        <v>237</v>
      </c>
      <c r="C181" t="s">
        <v>78</v>
      </c>
      <c r="D181" t="s">
        <v>97</v>
      </c>
      <c r="E181" t="s">
        <v>35</v>
      </c>
      <c r="F181" t="s">
        <v>18</v>
      </c>
      <c r="G181" t="s">
        <v>28</v>
      </c>
      <c r="H181" t="s">
        <v>20</v>
      </c>
      <c r="I181">
        <v>534835</v>
      </c>
      <c r="J181">
        <v>7</v>
      </c>
      <c r="K181">
        <v>5</v>
      </c>
      <c r="L181">
        <v>3</v>
      </c>
      <c r="M181" t="s">
        <v>21</v>
      </c>
    </row>
    <row r="182" spans="1:13" x14ac:dyDescent="0.2">
      <c r="A182" t="s">
        <v>410</v>
      </c>
      <c r="B182" t="s">
        <v>411</v>
      </c>
      <c r="C182" t="s">
        <v>133</v>
      </c>
      <c r="D182" t="s">
        <v>46</v>
      </c>
      <c r="E182" t="s">
        <v>42</v>
      </c>
      <c r="F182" t="s">
        <v>60</v>
      </c>
      <c r="G182" t="s">
        <v>54</v>
      </c>
      <c r="H182" t="s">
        <v>64</v>
      </c>
      <c r="I182">
        <v>11776</v>
      </c>
      <c r="J182">
        <v>2</v>
      </c>
      <c r="K182">
        <v>3.6</v>
      </c>
      <c r="L182">
        <v>3</v>
      </c>
      <c r="M182" t="s">
        <v>119</v>
      </c>
    </row>
    <row r="183" spans="1:13" x14ac:dyDescent="0.2">
      <c r="A183" t="s">
        <v>412</v>
      </c>
      <c r="B183" t="s">
        <v>413</v>
      </c>
      <c r="C183" t="s">
        <v>78</v>
      </c>
      <c r="D183" t="s">
        <v>69</v>
      </c>
      <c r="E183" t="s">
        <v>26</v>
      </c>
      <c r="F183" t="s">
        <v>100</v>
      </c>
      <c r="G183" t="s">
        <v>54</v>
      </c>
      <c r="H183" t="s">
        <v>36</v>
      </c>
      <c r="I183">
        <v>9814</v>
      </c>
      <c r="J183">
        <v>7</v>
      </c>
      <c r="K183">
        <v>4.5999999999999996</v>
      </c>
      <c r="L183">
        <v>6</v>
      </c>
      <c r="M183" t="s">
        <v>30</v>
      </c>
    </row>
    <row r="184" spans="1:13" x14ac:dyDescent="0.2">
      <c r="A184" t="s">
        <v>414</v>
      </c>
      <c r="B184" t="s">
        <v>415</v>
      </c>
      <c r="C184" t="s">
        <v>122</v>
      </c>
      <c r="D184" t="s">
        <v>109</v>
      </c>
      <c r="E184" t="s">
        <v>52</v>
      </c>
      <c r="F184" t="s">
        <v>100</v>
      </c>
      <c r="G184" t="s">
        <v>19</v>
      </c>
      <c r="H184" t="s">
        <v>64</v>
      </c>
      <c r="I184">
        <v>1886</v>
      </c>
      <c r="J184">
        <v>1</v>
      </c>
      <c r="K184">
        <v>3.2</v>
      </c>
      <c r="L184">
        <v>5</v>
      </c>
      <c r="M184" t="s">
        <v>80</v>
      </c>
    </row>
    <row r="185" spans="1:13" x14ac:dyDescent="0.2">
      <c r="A185" t="s">
        <v>416</v>
      </c>
      <c r="B185" t="s">
        <v>172</v>
      </c>
      <c r="C185" t="s">
        <v>68</v>
      </c>
      <c r="D185" t="s">
        <v>97</v>
      </c>
      <c r="E185" t="s">
        <v>35</v>
      </c>
      <c r="F185" t="s">
        <v>27</v>
      </c>
      <c r="G185" t="s">
        <v>19</v>
      </c>
      <c r="H185" t="s">
        <v>29</v>
      </c>
      <c r="I185">
        <v>197331</v>
      </c>
      <c r="J185">
        <v>3</v>
      </c>
      <c r="K185">
        <v>3.9</v>
      </c>
      <c r="L185">
        <v>2</v>
      </c>
      <c r="M185" t="s">
        <v>47</v>
      </c>
    </row>
    <row r="186" spans="1:13" x14ac:dyDescent="0.2">
      <c r="A186" t="s">
        <v>417</v>
      </c>
      <c r="B186" t="s">
        <v>418</v>
      </c>
      <c r="C186" t="s">
        <v>170</v>
      </c>
      <c r="D186" t="s">
        <v>130</v>
      </c>
      <c r="E186" t="s">
        <v>35</v>
      </c>
      <c r="F186" t="s">
        <v>18</v>
      </c>
      <c r="G186" t="s">
        <v>104</v>
      </c>
      <c r="H186" t="s">
        <v>36</v>
      </c>
      <c r="I186">
        <v>192608</v>
      </c>
      <c r="J186">
        <v>4</v>
      </c>
      <c r="K186">
        <v>4</v>
      </c>
      <c r="L186">
        <v>8</v>
      </c>
      <c r="M186" t="s">
        <v>47</v>
      </c>
    </row>
    <row r="187" spans="1:13" x14ac:dyDescent="0.2">
      <c r="A187" t="s">
        <v>419</v>
      </c>
      <c r="B187" t="s">
        <v>420</v>
      </c>
      <c r="C187" t="s">
        <v>78</v>
      </c>
      <c r="D187" t="s">
        <v>16</v>
      </c>
      <c r="E187" t="s">
        <v>17</v>
      </c>
      <c r="F187" t="s">
        <v>60</v>
      </c>
      <c r="G187" t="s">
        <v>28</v>
      </c>
      <c r="H187" t="s">
        <v>20</v>
      </c>
      <c r="I187">
        <v>3372</v>
      </c>
      <c r="J187">
        <v>2</v>
      </c>
      <c r="K187">
        <v>4.2</v>
      </c>
      <c r="L187">
        <v>6</v>
      </c>
      <c r="M187" t="s">
        <v>126</v>
      </c>
    </row>
    <row r="188" spans="1:13" x14ac:dyDescent="0.2">
      <c r="A188" t="s">
        <v>421</v>
      </c>
      <c r="B188" t="s">
        <v>422</v>
      </c>
      <c r="C188" t="s">
        <v>15</v>
      </c>
      <c r="D188" t="s">
        <v>159</v>
      </c>
      <c r="E188" t="s">
        <v>42</v>
      </c>
      <c r="F188" t="s">
        <v>27</v>
      </c>
      <c r="G188" t="s">
        <v>19</v>
      </c>
      <c r="H188" t="s">
        <v>20</v>
      </c>
      <c r="I188">
        <v>16212</v>
      </c>
      <c r="J188">
        <v>7</v>
      </c>
      <c r="K188">
        <v>4.3</v>
      </c>
      <c r="L188">
        <v>7</v>
      </c>
      <c r="M188" t="s">
        <v>37</v>
      </c>
    </row>
    <row r="189" spans="1:13" x14ac:dyDescent="0.2">
      <c r="A189" t="s">
        <v>423</v>
      </c>
      <c r="B189" t="s">
        <v>424</v>
      </c>
      <c r="C189" t="s">
        <v>125</v>
      </c>
      <c r="D189" t="s">
        <v>113</v>
      </c>
      <c r="E189" t="s">
        <v>35</v>
      </c>
      <c r="F189" t="s">
        <v>100</v>
      </c>
      <c r="G189" t="s">
        <v>104</v>
      </c>
      <c r="H189" t="s">
        <v>64</v>
      </c>
      <c r="I189">
        <v>100890</v>
      </c>
      <c r="J189">
        <v>2</v>
      </c>
      <c r="K189">
        <v>4</v>
      </c>
      <c r="L189">
        <v>5</v>
      </c>
      <c r="M189" t="s">
        <v>30</v>
      </c>
    </row>
    <row r="190" spans="1:13" x14ac:dyDescent="0.2">
      <c r="A190" t="s">
        <v>425</v>
      </c>
      <c r="B190" t="s">
        <v>222</v>
      </c>
      <c r="C190" t="s">
        <v>45</v>
      </c>
      <c r="D190" t="s">
        <v>69</v>
      </c>
      <c r="E190" t="s">
        <v>26</v>
      </c>
      <c r="F190" t="s">
        <v>100</v>
      </c>
      <c r="G190" t="s">
        <v>54</v>
      </c>
      <c r="H190" t="s">
        <v>20</v>
      </c>
      <c r="I190">
        <v>7252</v>
      </c>
      <c r="J190">
        <v>2</v>
      </c>
      <c r="K190">
        <v>4.7</v>
      </c>
      <c r="L190">
        <v>5</v>
      </c>
      <c r="M190" t="s">
        <v>30</v>
      </c>
    </row>
    <row r="191" spans="1:13" x14ac:dyDescent="0.2">
      <c r="A191" t="s">
        <v>426</v>
      </c>
      <c r="B191" t="s">
        <v>427</v>
      </c>
      <c r="C191" t="s">
        <v>58</v>
      </c>
      <c r="D191" t="s">
        <v>113</v>
      </c>
      <c r="E191" t="s">
        <v>35</v>
      </c>
      <c r="F191" t="s">
        <v>60</v>
      </c>
      <c r="G191" t="s">
        <v>28</v>
      </c>
      <c r="H191" t="s">
        <v>20</v>
      </c>
      <c r="I191">
        <v>257145</v>
      </c>
      <c r="J191">
        <v>5</v>
      </c>
      <c r="K191">
        <v>3.9</v>
      </c>
      <c r="L191">
        <v>3</v>
      </c>
      <c r="M191" t="s">
        <v>21</v>
      </c>
    </row>
    <row r="192" spans="1:13" x14ac:dyDescent="0.2">
      <c r="A192" t="s">
        <v>428</v>
      </c>
      <c r="B192" t="s">
        <v>429</v>
      </c>
      <c r="C192" t="s">
        <v>129</v>
      </c>
      <c r="D192" t="s">
        <v>159</v>
      </c>
      <c r="E192" t="s">
        <v>42</v>
      </c>
      <c r="F192" t="s">
        <v>18</v>
      </c>
      <c r="G192" t="s">
        <v>28</v>
      </c>
      <c r="H192" t="s">
        <v>20</v>
      </c>
      <c r="I192">
        <v>6696</v>
      </c>
      <c r="J192">
        <v>3</v>
      </c>
      <c r="K192">
        <v>4.7</v>
      </c>
      <c r="L192">
        <v>1</v>
      </c>
      <c r="M192" t="s">
        <v>30</v>
      </c>
    </row>
    <row r="193" spans="1:13" x14ac:dyDescent="0.2">
      <c r="A193" t="s">
        <v>430</v>
      </c>
      <c r="B193" t="s">
        <v>23</v>
      </c>
      <c r="C193" t="s">
        <v>122</v>
      </c>
      <c r="D193" t="s">
        <v>51</v>
      </c>
      <c r="E193" t="s">
        <v>52</v>
      </c>
      <c r="F193" t="s">
        <v>53</v>
      </c>
      <c r="G193" t="s">
        <v>54</v>
      </c>
      <c r="H193" t="s">
        <v>29</v>
      </c>
      <c r="I193">
        <v>18112</v>
      </c>
      <c r="J193">
        <v>8</v>
      </c>
      <c r="K193">
        <v>3.5</v>
      </c>
      <c r="L193">
        <v>1</v>
      </c>
      <c r="M193" t="s">
        <v>30</v>
      </c>
    </row>
    <row r="194" spans="1:13" x14ac:dyDescent="0.2">
      <c r="A194" t="s">
        <v>431</v>
      </c>
      <c r="B194" t="s">
        <v>432</v>
      </c>
      <c r="C194" t="s">
        <v>78</v>
      </c>
      <c r="D194" t="s">
        <v>109</v>
      </c>
      <c r="E194" t="s">
        <v>52</v>
      </c>
      <c r="F194" t="s">
        <v>53</v>
      </c>
      <c r="G194" t="s">
        <v>54</v>
      </c>
      <c r="H194" t="s">
        <v>64</v>
      </c>
      <c r="I194">
        <v>18224</v>
      </c>
      <c r="J194">
        <v>8</v>
      </c>
      <c r="K194">
        <v>4.2</v>
      </c>
      <c r="L194">
        <v>5</v>
      </c>
      <c r="M194" t="s">
        <v>80</v>
      </c>
    </row>
    <row r="195" spans="1:13" x14ac:dyDescent="0.2">
      <c r="A195" t="s">
        <v>433</v>
      </c>
      <c r="B195" t="s">
        <v>434</v>
      </c>
      <c r="C195" t="s">
        <v>146</v>
      </c>
      <c r="D195" t="s">
        <v>79</v>
      </c>
      <c r="E195" t="s">
        <v>26</v>
      </c>
      <c r="F195" t="s">
        <v>18</v>
      </c>
      <c r="G195" t="s">
        <v>19</v>
      </c>
      <c r="H195" t="s">
        <v>20</v>
      </c>
      <c r="I195">
        <v>16336</v>
      </c>
      <c r="J195">
        <v>2</v>
      </c>
      <c r="K195">
        <v>3.7</v>
      </c>
      <c r="L195">
        <v>2</v>
      </c>
      <c r="M195" t="s">
        <v>47</v>
      </c>
    </row>
    <row r="196" spans="1:13" x14ac:dyDescent="0.2">
      <c r="A196" t="s">
        <v>435</v>
      </c>
      <c r="B196" t="s">
        <v>436</v>
      </c>
      <c r="C196" t="s">
        <v>45</v>
      </c>
      <c r="D196" t="s">
        <v>59</v>
      </c>
      <c r="E196" t="s">
        <v>26</v>
      </c>
      <c r="F196" t="s">
        <v>100</v>
      </c>
      <c r="G196" t="s">
        <v>19</v>
      </c>
      <c r="H196" t="s">
        <v>29</v>
      </c>
      <c r="I196">
        <v>12404</v>
      </c>
      <c r="J196">
        <v>7</v>
      </c>
      <c r="K196">
        <v>4.2</v>
      </c>
      <c r="L196">
        <v>5</v>
      </c>
      <c r="M196" t="s">
        <v>119</v>
      </c>
    </row>
    <row r="197" spans="1:13" x14ac:dyDescent="0.2">
      <c r="A197" t="s">
        <v>437</v>
      </c>
      <c r="B197" t="s">
        <v>252</v>
      </c>
      <c r="C197" t="s">
        <v>72</v>
      </c>
      <c r="D197" t="s">
        <v>130</v>
      </c>
      <c r="E197" t="s">
        <v>35</v>
      </c>
      <c r="F197" t="s">
        <v>83</v>
      </c>
      <c r="G197" t="s">
        <v>19</v>
      </c>
      <c r="H197" t="s">
        <v>29</v>
      </c>
      <c r="I197">
        <v>101355</v>
      </c>
      <c r="J197">
        <v>5</v>
      </c>
      <c r="K197">
        <v>5</v>
      </c>
      <c r="L197">
        <v>3</v>
      </c>
      <c r="M197" t="s">
        <v>30</v>
      </c>
    </row>
    <row r="198" spans="1:13" x14ac:dyDescent="0.2">
      <c r="A198" t="s">
        <v>438</v>
      </c>
      <c r="B198" t="s">
        <v>74</v>
      </c>
      <c r="C198" t="s">
        <v>50</v>
      </c>
      <c r="D198" t="s">
        <v>51</v>
      </c>
      <c r="E198" t="s">
        <v>52</v>
      </c>
      <c r="F198" t="s">
        <v>100</v>
      </c>
      <c r="G198" t="s">
        <v>104</v>
      </c>
      <c r="H198" t="s">
        <v>29</v>
      </c>
      <c r="I198">
        <v>4050</v>
      </c>
      <c r="J198">
        <v>3</v>
      </c>
      <c r="K198">
        <v>4</v>
      </c>
      <c r="L198">
        <v>2</v>
      </c>
      <c r="M198" t="s">
        <v>65</v>
      </c>
    </row>
    <row r="199" spans="1:13" x14ac:dyDescent="0.2">
      <c r="A199" t="s">
        <v>439</v>
      </c>
      <c r="B199" t="s">
        <v>440</v>
      </c>
      <c r="C199" t="s">
        <v>78</v>
      </c>
      <c r="D199" t="s">
        <v>90</v>
      </c>
      <c r="E199" t="s">
        <v>42</v>
      </c>
      <c r="F199" t="s">
        <v>60</v>
      </c>
      <c r="G199" t="s">
        <v>19</v>
      </c>
      <c r="H199" t="s">
        <v>64</v>
      </c>
      <c r="I199">
        <v>5900</v>
      </c>
      <c r="J199">
        <v>1</v>
      </c>
      <c r="K199">
        <v>4.5</v>
      </c>
      <c r="L199">
        <v>2</v>
      </c>
      <c r="M199" t="s">
        <v>126</v>
      </c>
    </row>
    <row r="200" spans="1:13" x14ac:dyDescent="0.2">
      <c r="A200" t="s">
        <v>441</v>
      </c>
      <c r="B200" t="s">
        <v>398</v>
      </c>
      <c r="C200" t="s">
        <v>170</v>
      </c>
      <c r="D200" t="s">
        <v>51</v>
      </c>
      <c r="E200" t="s">
        <v>52</v>
      </c>
      <c r="F200" t="s">
        <v>27</v>
      </c>
      <c r="G200" t="s">
        <v>54</v>
      </c>
      <c r="H200" t="s">
        <v>36</v>
      </c>
      <c r="I200">
        <v>9798</v>
      </c>
      <c r="J200">
        <v>6</v>
      </c>
      <c r="K200">
        <v>4.2</v>
      </c>
      <c r="L200">
        <v>8</v>
      </c>
      <c r="M200" t="s">
        <v>21</v>
      </c>
    </row>
    <row r="201" spans="1:13" x14ac:dyDescent="0.2">
      <c r="A201" t="s">
        <v>442</v>
      </c>
      <c r="B201" t="s">
        <v>296</v>
      </c>
      <c r="C201" t="s">
        <v>40</v>
      </c>
      <c r="D201" t="s">
        <v>116</v>
      </c>
      <c r="E201" t="s">
        <v>17</v>
      </c>
      <c r="F201" t="s">
        <v>83</v>
      </c>
      <c r="G201" t="s">
        <v>104</v>
      </c>
      <c r="H201" t="s">
        <v>36</v>
      </c>
      <c r="I201">
        <v>1246</v>
      </c>
      <c r="J201">
        <v>2</v>
      </c>
      <c r="K201">
        <v>3.6</v>
      </c>
      <c r="L201">
        <v>3</v>
      </c>
      <c r="M201" t="s">
        <v>144</v>
      </c>
    </row>
    <row r="202" spans="1:13" x14ac:dyDescent="0.2">
      <c r="A202" t="s">
        <v>443</v>
      </c>
      <c r="B202" t="s">
        <v>444</v>
      </c>
      <c r="C202" t="s">
        <v>133</v>
      </c>
      <c r="D202" t="s">
        <v>130</v>
      </c>
      <c r="E202" t="s">
        <v>35</v>
      </c>
      <c r="F202" t="s">
        <v>27</v>
      </c>
      <c r="G202" t="s">
        <v>54</v>
      </c>
      <c r="H202" t="s">
        <v>36</v>
      </c>
      <c r="I202">
        <v>55722</v>
      </c>
      <c r="J202">
        <v>6</v>
      </c>
      <c r="K202">
        <v>3.7</v>
      </c>
      <c r="L202">
        <v>4</v>
      </c>
      <c r="M202" t="s">
        <v>87</v>
      </c>
    </row>
    <row r="203" spans="1:13" x14ac:dyDescent="0.2">
      <c r="A203" t="s">
        <v>445</v>
      </c>
      <c r="B203" t="s">
        <v>446</v>
      </c>
      <c r="C203" t="s">
        <v>68</v>
      </c>
      <c r="D203" t="s">
        <v>86</v>
      </c>
      <c r="E203" t="s">
        <v>17</v>
      </c>
      <c r="F203" t="s">
        <v>60</v>
      </c>
      <c r="G203" t="s">
        <v>19</v>
      </c>
      <c r="H203" t="s">
        <v>64</v>
      </c>
      <c r="I203">
        <v>1142</v>
      </c>
      <c r="J203">
        <v>2</v>
      </c>
      <c r="K203">
        <v>3.2</v>
      </c>
      <c r="L203">
        <v>6</v>
      </c>
      <c r="M203" t="s">
        <v>65</v>
      </c>
    </row>
    <row r="204" spans="1:13" x14ac:dyDescent="0.2">
      <c r="A204" t="s">
        <v>447</v>
      </c>
      <c r="B204" t="s">
        <v>352</v>
      </c>
      <c r="C204" t="s">
        <v>50</v>
      </c>
      <c r="D204" t="s">
        <v>86</v>
      </c>
      <c r="E204" t="s">
        <v>17</v>
      </c>
      <c r="F204" t="s">
        <v>83</v>
      </c>
      <c r="G204" t="s">
        <v>19</v>
      </c>
      <c r="H204" t="s">
        <v>36</v>
      </c>
      <c r="I204">
        <v>3592</v>
      </c>
      <c r="J204">
        <v>2</v>
      </c>
      <c r="K204">
        <v>4.8</v>
      </c>
      <c r="L204">
        <v>3</v>
      </c>
      <c r="M204" t="s">
        <v>55</v>
      </c>
    </row>
    <row r="205" spans="1:13" x14ac:dyDescent="0.2">
      <c r="A205" t="s">
        <v>448</v>
      </c>
      <c r="B205" t="s">
        <v>233</v>
      </c>
      <c r="C205" t="s">
        <v>179</v>
      </c>
      <c r="D205" t="s">
        <v>25</v>
      </c>
      <c r="E205" t="s">
        <v>26</v>
      </c>
      <c r="F205" t="s">
        <v>18</v>
      </c>
      <c r="G205" t="s">
        <v>54</v>
      </c>
      <c r="H205" t="s">
        <v>20</v>
      </c>
      <c r="I205">
        <v>9840</v>
      </c>
      <c r="J205">
        <v>3</v>
      </c>
      <c r="K205">
        <v>4.9000000000000004</v>
      </c>
      <c r="L205">
        <v>8</v>
      </c>
      <c r="M205" t="s">
        <v>192</v>
      </c>
    </row>
    <row r="206" spans="1:13" x14ac:dyDescent="0.2">
      <c r="A206" t="s">
        <v>449</v>
      </c>
      <c r="B206" t="s">
        <v>450</v>
      </c>
      <c r="C206" t="s">
        <v>15</v>
      </c>
      <c r="D206" t="s">
        <v>116</v>
      </c>
      <c r="E206" t="s">
        <v>17</v>
      </c>
      <c r="F206" t="s">
        <v>27</v>
      </c>
      <c r="G206" t="s">
        <v>104</v>
      </c>
      <c r="H206" t="s">
        <v>20</v>
      </c>
      <c r="I206">
        <v>6608</v>
      </c>
      <c r="J206">
        <v>7</v>
      </c>
      <c r="K206">
        <v>3.4</v>
      </c>
      <c r="L206">
        <v>5</v>
      </c>
      <c r="M206" t="s">
        <v>126</v>
      </c>
    </row>
    <row r="207" spans="1:13" x14ac:dyDescent="0.2">
      <c r="A207" t="s">
        <v>451</v>
      </c>
      <c r="B207" t="s">
        <v>452</v>
      </c>
      <c r="C207" t="s">
        <v>45</v>
      </c>
      <c r="D207" t="s">
        <v>79</v>
      </c>
      <c r="E207" t="s">
        <v>26</v>
      </c>
      <c r="F207" t="s">
        <v>18</v>
      </c>
      <c r="G207" t="s">
        <v>54</v>
      </c>
      <c r="H207" t="s">
        <v>29</v>
      </c>
      <c r="I207">
        <v>35610</v>
      </c>
      <c r="J207">
        <v>5</v>
      </c>
      <c r="K207">
        <v>3.4</v>
      </c>
      <c r="L207">
        <v>8</v>
      </c>
      <c r="M207" t="s">
        <v>55</v>
      </c>
    </row>
    <row r="208" spans="1:13" x14ac:dyDescent="0.2">
      <c r="A208" t="s">
        <v>453</v>
      </c>
      <c r="B208" t="s">
        <v>454</v>
      </c>
      <c r="C208" t="s">
        <v>15</v>
      </c>
      <c r="D208" t="s">
        <v>34</v>
      </c>
      <c r="E208" t="s">
        <v>35</v>
      </c>
      <c r="F208" t="s">
        <v>53</v>
      </c>
      <c r="G208" t="s">
        <v>19</v>
      </c>
      <c r="H208" t="s">
        <v>36</v>
      </c>
      <c r="I208">
        <v>176015</v>
      </c>
      <c r="J208">
        <v>7</v>
      </c>
      <c r="K208">
        <v>3.2</v>
      </c>
      <c r="L208">
        <v>2</v>
      </c>
      <c r="M208" t="s">
        <v>55</v>
      </c>
    </row>
    <row r="209" spans="1:13" x14ac:dyDescent="0.2">
      <c r="A209" t="s">
        <v>455</v>
      </c>
      <c r="B209" t="s">
        <v>456</v>
      </c>
      <c r="C209" t="s">
        <v>103</v>
      </c>
      <c r="D209" t="s">
        <v>116</v>
      </c>
      <c r="E209" t="s">
        <v>17</v>
      </c>
      <c r="F209" t="s">
        <v>18</v>
      </c>
      <c r="G209" t="s">
        <v>104</v>
      </c>
      <c r="H209" t="s">
        <v>36</v>
      </c>
      <c r="I209">
        <v>7935</v>
      </c>
      <c r="J209">
        <v>5</v>
      </c>
      <c r="K209">
        <v>3.3</v>
      </c>
      <c r="L209">
        <v>3</v>
      </c>
      <c r="M209" t="s">
        <v>65</v>
      </c>
    </row>
    <row r="210" spans="1:13" x14ac:dyDescent="0.2">
      <c r="A210" t="s">
        <v>457</v>
      </c>
      <c r="B210" t="s">
        <v>458</v>
      </c>
      <c r="C210" t="s">
        <v>133</v>
      </c>
      <c r="D210" t="s">
        <v>79</v>
      </c>
      <c r="E210" t="s">
        <v>26</v>
      </c>
      <c r="F210" t="s">
        <v>18</v>
      </c>
      <c r="G210" t="s">
        <v>28</v>
      </c>
      <c r="H210" t="s">
        <v>36</v>
      </c>
      <c r="I210">
        <v>28254</v>
      </c>
      <c r="J210">
        <v>6</v>
      </c>
      <c r="K210">
        <v>3.3</v>
      </c>
      <c r="L210">
        <v>2</v>
      </c>
      <c r="M210" t="s">
        <v>80</v>
      </c>
    </row>
    <row r="211" spans="1:13" x14ac:dyDescent="0.2">
      <c r="A211" t="s">
        <v>459</v>
      </c>
      <c r="B211" t="s">
        <v>460</v>
      </c>
      <c r="C211" t="s">
        <v>24</v>
      </c>
      <c r="D211" t="s">
        <v>34</v>
      </c>
      <c r="E211" t="s">
        <v>35</v>
      </c>
      <c r="F211" t="s">
        <v>53</v>
      </c>
      <c r="G211" t="s">
        <v>19</v>
      </c>
      <c r="H211" t="s">
        <v>29</v>
      </c>
      <c r="I211">
        <v>3987</v>
      </c>
      <c r="J211">
        <v>1</v>
      </c>
      <c r="K211">
        <v>4.9000000000000004</v>
      </c>
      <c r="L211">
        <v>5</v>
      </c>
      <c r="M211" t="s">
        <v>80</v>
      </c>
    </row>
    <row r="212" spans="1:13" x14ac:dyDescent="0.2">
      <c r="A212" t="s">
        <v>461</v>
      </c>
      <c r="B212" t="s">
        <v>462</v>
      </c>
      <c r="C212" t="s">
        <v>146</v>
      </c>
      <c r="D212" t="s">
        <v>16</v>
      </c>
      <c r="E212" t="s">
        <v>17</v>
      </c>
      <c r="F212" t="s">
        <v>100</v>
      </c>
      <c r="G212" t="s">
        <v>104</v>
      </c>
      <c r="H212" t="s">
        <v>36</v>
      </c>
      <c r="I212">
        <v>5999</v>
      </c>
      <c r="J212">
        <v>7</v>
      </c>
      <c r="K212">
        <v>4.3</v>
      </c>
      <c r="L212">
        <v>8</v>
      </c>
      <c r="M212" t="s">
        <v>126</v>
      </c>
    </row>
    <row r="213" spans="1:13" x14ac:dyDescent="0.2">
      <c r="A213" t="s">
        <v>463</v>
      </c>
      <c r="B213" t="s">
        <v>334</v>
      </c>
      <c r="C213" t="s">
        <v>33</v>
      </c>
      <c r="D213" t="s">
        <v>159</v>
      </c>
      <c r="E213" t="s">
        <v>42</v>
      </c>
      <c r="F213" t="s">
        <v>18</v>
      </c>
      <c r="G213" t="s">
        <v>19</v>
      </c>
      <c r="H213" t="s">
        <v>36</v>
      </c>
      <c r="I213">
        <v>4932</v>
      </c>
      <c r="J213">
        <v>3</v>
      </c>
      <c r="K213">
        <v>4.5</v>
      </c>
      <c r="L213">
        <v>1</v>
      </c>
      <c r="M213" t="s">
        <v>55</v>
      </c>
    </row>
    <row r="214" spans="1:13" x14ac:dyDescent="0.2">
      <c r="A214" t="s">
        <v>464</v>
      </c>
      <c r="B214" t="s">
        <v>352</v>
      </c>
      <c r="C214" t="s">
        <v>170</v>
      </c>
      <c r="D214" t="s">
        <v>46</v>
      </c>
      <c r="E214" t="s">
        <v>42</v>
      </c>
      <c r="F214" t="s">
        <v>53</v>
      </c>
      <c r="G214" t="s">
        <v>54</v>
      </c>
      <c r="H214" t="s">
        <v>29</v>
      </c>
      <c r="I214">
        <v>12405</v>
      </c>
      <c r="J214">
        <v>3</v>
      </c>
      <c r="K214">
        <v>3.8</v>
      </c>
      <c r="L214">
        <v>7</v>
      </c>
      <c r="M214" t="s">
        <v>55</v>
      </c>
    </row>
    <row r="215" spans="1:13" x14ac:dyDescent="0.2">
      <c r="A215" t="s">
        <v>465</v>
      </c>
      <c r="B215" t="s">
        <v>393</v>
      </c>
      <c r="C215" t="s">
        <v>170</v>
      </c>
      <c r="D215" t="s">
        <v>16</v>
      </c>
      <c r="E215" t="s">
        <v>17</v>
      </c>
      <c r="F215" t="s">
        <v>18</v>
      </c>
      <c r="G215" t="s">
        <v>28</v>
      </c>
      <c r="H215" t="s">
        <v>36</v>
      </c>
      <c r="I215">
        <v>5424</v>
      </c>
      <c r="J215">
        <v>4</v>
      </c>
      <c r="K215">
        <v>4.8</v>
      </c>
      <c r="L215">
        <v>5</v>
      </c>
      <c r="M215" t="s">
        <v>37</v>
      </c>
    </row>
    <row r="216" spans="1:13" x14ac:dyDescent="0.2">
      <c r="A216" t="s">
        <v>466</v>
      </c>
      <c r="B216" t="s">
        <v>402</v>
      </c>
      <c r="C216" t="s">
        <v>78</v>
      </c>
      <c r="D216" t="s">
        <v>34</v>
      </c>
      <c r="E216" t="s">
        <v>35</v>
      </c>
      <c r="F216" t="s">
        <v>83</v>
      </c>
      <c r="G216" t="s">
        <v>19</v>
      </c>
      <c r="H216" t="s">
        <v>36</v>
      </c>
      <c r="I216">
        <v>316535</v>
      </c>
      <c r="J216">
        <v>5</v>
      </c>
      <c r="K216">
        <v>4.9000000000000004</v>
      </c>
      <c r="L216">
        <v>4</v>
      </c>
      <c r="M216" t="s">
        <v>21</v>
      </c>
    </row>
    <row r="217" spans="1:13" x14ac:dyDescent="0.2">
      <c r="A217" t="s">
        <v>467</v>
      </c>
      <c r="B217" t="s">
        <v>468</v>
      </c>
      <c r="C217" t="s">
        <v>68</v>
      </c>
      <c r="D217" t="s">
        <v>41</v>
      </c>
      <c r="E217" t="s">
        <v>42</v>
      </c>
      <c r="F217" t="s">
        <v>83</v>
      </c>
      <c r="G217" t="s">
        <v>19</v>
      </c>
      <c r="H217" t="s">
        <v>64</v>
      </c>
      <c r="I217">
        <v>4266</v>
      </c>
      <c r="J217">
        <v>6</v>
      </c>
      <c r="K217">
        <v>3.9</v>
      </c>
      <c r="L217">
        <v>5</v>
      </c>
      <c r="M217" t="s">
        <v>37</v>
      </c>
    </row>
    <row r="218" spans="1:13" x14ac:dyDescent="0.2">
      <c r="A218" t="s">
        <v>469</v>
      </c>
      <c r="B218" t="s">
        <v>470</v>
      </c>
      <c r="C218" t="s">
        <v>146</v>
      </c>
      <c r="D218" t="s">
        <v>41</v>
      </c>
      <c r="E218" t="s">
        <v>42</v>
      </c>
      <c r="F218" t="s">
        <v>27</v>
      </c>
      <c r="G218" t="s">
        <v>54</v>
      </c>
      <c r="H218" t="s">
        <v>36</v>
      </c>
      <c r="I218">
        <v>24785</v>
      </c>
      <c r="J218">
        <v>5</v>
      </c>
      <c r="K218">
        <v>4.5</v>
      </c>
      <c r="L218">
        <v>6</v>
      </c>
      <c r="M218" t="s">
        <v>80</v>
      </c>
    </row>
    <row r="219" spans="1:13" x14ac:dyDescent="0.2">
      <c r="A219" t="s">
        <v>471</v>
      </c>
      <c r="B219" t="s">
        <v>472</v>
      </c>
      <c r="C219" t="s">
        <v>50</v>
      </c>
      <c r="D219" t="s">
        <v>79</v>
      </c>
      <c r="E219" t="s">
        <v>26</v>
      </c>
      <c r="F219" t="s">
        <v>27</v>
      </c>
      <c r="G219" t="s">
        <v>104</v>
      </c>
      <c r="H219" t="s">
        <v>29</v>
      </c>
      <c r="I219">
        <v>32753</v>
      </c>
      <c r="J219">
        <v>7</v>
      </c>
      <c r="K219">
        <v>3.7</v>
      </c>
      <c r="L219">
        <v>6</v>
      </c>
      <c r="M219" t="s">
        <v>192</v>
      </c>
    </row>
    <row r="220" spans="1:13" x14ac:dyDescent="0.2">
      <c r="A220" t="s">
        <v>473</v>
      </c>
      <c r="B220" t="s">
        <v>468</v>
      </c>
      <c r="C220" t="s">
        <v>146</v>
      </c>
      <c r="D220" t="s">
        <v>46</v>
      </c>
      <c r="E220" t="s">
        <v>42</v>
      </c>
      <c r="F220" t="s">
        <v>53</v>
      </c>
      <c r="G220" t="s">
        <v>28</v>
      </c>
      <c r="H220" t="s">
        <v>36</v>
      </c>
      <c r="I220">
        <v>3184</v>
      </c>
      <c r="J220">
        <v>2</v>
      </c>
      <c r="K220">
        <v>3.4</v>
      </c>
      <c r="L220">
        <v>8</v>
      </c>
      <c r="M220" t="s">
        <v>37</v>
      </c>
    </row>
    <row r="221" spans="1:13" x14ac:dyDescent="0.2">
      <c r="A221" t="s">
        <v>474</v>
      </c>
      <c r="B221" t="s">
        <v>475</v>
      </c>
      <c r="C221" t="s">
        <v>45</v>
      </c>
      <c r="D221" t="s">
        <v>59</v>
      </c>
      <c r="E221" t="s">
        <v>26</v>
      </c>
      <c r="F221" t="s">
        <v>18</v>
      </c>
      <c r="G221" t="s">
        <v>19</v>
      </c>
      <c r="H221" t="s">
        <v>29</v>
      </c>
      <c r="I221">
        <v>18248</v>
      </c>
      <c r="J221">
        <v>8</v>
      </c>
      <c r="K221">
        <v>3.5</v>
      </c>
      <c r="L221">
        <v>5</v>
      </c>
      <c r="M221" t="s">
        <v>37</v>
      </c>
    </row>
    <row r="222" spans="1:13" x14ac:dyDescent="0.2">
      <c r="A222" t="s">
        <v>476</v>
      </c>
      <c r="B222" t="s">
        <v>477</v>
      </c>
      <c r="C222" t="s">
        <v>15</v>
      </c>
      <c r="D222" t="s">
        <v>147</v>
      </c>
      <c r="E222" t="s">
        <v>52</v>
      </c>
      <c r="F222" t="s">
        <v>60</v>
      </c>
      <c r="G222" t="s">
        <v>28</v>
      </c>
      <c r="H222" t="s">
        <v>20</v>
      </c>
      <c r="I222">
        <v>7492</v>
      </c>
      <c r="J222">
        <v>4</v>
      </c>
      <c r="K222">
        <v>3.7</v>
      </c>
      <c r="L222">
        <v>3</v>
      </c>
      <c r="M222" t="s">
        <v>119</v>
      </c>
    </row>
    <row r="223" spans="1:13" x14ac:dyDescent="0.2">
      <c r="A223" t="s">
        <v>478</v>
      </c>
      <c r="B223" t="s">
        <v>183</v>
      </c>
      <c r="C223" t="s">
        <v>129</v>
      </c>
      <c r="D223" t="s">
        <v>116</v>
      </c>
      <c r="E223" t="s">
        <v>17</v>
      </c>
      <c r="F223" t="s">
        <v>27</v>
      </c>
      <c r="G223" t="s">
        <v>54</v>
      </c>
      <c r="H223" t="s">
        <v>29</v>
      </c>
      <c r="I223">
        <v>1644</v>
      </c>
      <c r="J223">
        <v>3</v>
      </c>
      <c r="K223">
        <v>3.6</v>
      </c>
      <c r="L223">
        <v>7</v>
      </c>
      <c r="M223" t="s">
        <v>87</v>
      </c>
    </row>
    <row r="224" spans="1:13" x14ac:dyDescent="0.2">
      <c r="A224" t="s">
        <v>479</v>
      </c>
      <c r="B224" t="s">
        <v>480</v>
      </c>
      <c r="C224" t="s">
        <v>33</v>
      </c>
      <c r="D224" t="s">
        <v>16</v>
      </c>
      <c r="E224" t="s">
        <v>17</v>
      </c>
      <c r="F224" t="s">
        <v>83</v>
      </c>
      <c r="G224" t="s">
        <v>28</v>
      </c>
      <c r="H224" t="s">
        <v>64</v>
      </c>
      <c r="I224">
        <v>6488</v>
      </c>
      <c r="J224">
        <v>4</v>
      </c>
      <c r="K224">
        <v>3.4</v>
      </c>
      <c r="L224">
        <v>8</v>
      </c>
      <c r="M224" t="s">
        <v>87</v>
      </c>
    </row>
    <row r="225" spans="1:13" x14ac:dyDescent="0.2">
      <c r="A225" t="s">
        <v>481</v>
      </c>
      <c r="B225" t="s">
        <v>482</v>
      </c>
      <c r="C225" t="s">
        <v>33</v>
      </c>
      <c r="D225" t="s">
        <v>41</v>
      </c>
      <c r="E225" t="s">
        <v>42</v>
      </c>
      <c r="F225" t="s">
        <v>100</v>
      </c>
      <c r="G225" t="s">
        <v>19</v>
      </c>
      <c r="H225" t="s">
        <v>29</v>
      </c>
      <c r="I225">
        <v>15631</v>
      </c>
      <c r="J225">
        <v>7</v>
      </c>
      <c r="K225">
        <v>3.7</v>
      </c>
      <c r="L225">
        <v>3</v>
      </c>
      <c r="M225" t="s">
        <v>55</v>
      </c>
    </row>
    <row r="226" spans="1:13" x14ac:dyDescent="0.2">
      <c r="A226" t="s">
        <v>483</v>
      </c>
      <c r="B226" t="s">
        <v>344</v>
      </c>
      <c r="C226" t="s">
        <v>78</v>
      </c>
      <c r="D226" t="s">
        <v>90</v>
      </c>
      <c r="E226" t="s">
        <v>42</v>
      </c>
      <c r="F226" t="s">
        <v>18</v>
      </c>
      <c r="G226" t="s">
        <v>28</v>
      </c>
      <c r="H226" t="s">
        <v>29</v>
      </c>
      <c r="I226">
        <v>30696</v>
      </c>
      <c r="J226">
        <v>8</v>
      </c>
      <c r="K226">
        <v>4</v>
      </c>
      <c r="L226">
        <v>4</v>
      </c>
      <c r="M226" t="s">
        <v>30</v>
      </c>
    </row>
    <row r="227" spans="1:13" x14ac:dyDescent="0.2">
      <c r="A227" t="s">
        <v>484</v>
      </c>
      <c r="B227" t="s">
        <v>485</v>
      </c>
      <c r="C227" t="s">
        <v>103</v>
      </c>
      <c r="D227" t="s">
        <v>90</v>
      </c>
      <c r="E227" t="s">
        <v>42</v>
      </c>
      <c r="F227" t="s">
        <v>18</v>
      </c>
      <c r="G227" t="s">
        <v>28</v>
      </c>
      <c r="H227" t="s">
        <v>29</v>
      </c>
      <c r="I227">
        <v>5478</v>
      </c>
      <c r="J227">
        <v>6</v>
      </c>
      <c r="K227">
        <v>4.3</v>
      </c>
      <c r="L227">
        <v>1</v>
      </c>
      <c r="M227" t="s">
        <v>126</v>
      </c>
    </row>
    <row r="228" spans="1:13" x14ac:dyDescent="0.2">
      <c r="A228" t="s">
        <v>486</v>
      </c>
      <c r="B228" t="s">
        <v>487</v>
      </c>
      <c r="C228" t="s">
        <v>58</v>
      </c>
      <c r="D228" t="s">
        <v>79</v>
      </c>
      <c r="E228" t="s">
        <v>26</v>
      </c>
      <c r="F228" t="s">
        <v>60</v>
      </c>
      <c r="G228" t="s">
        <v>104</v>
      </c>
      <c r="H228" t="s">
        <v>20</v>
      </c>
      <c r="I228">
        <v>3432</v>
      </c>
      <c r="J228">
        <v>2</v>
      </c>
      <c r="K228">
        <v>4.5999999999999996</v>
      </c>
      <c r="L228">
        <v>4</v>
      </c>
      <c r="M228" t="s">
        <v>80</v>
      </c>
    </row>
    <row r="229" spans="1:13" x14ac:dyDescent="0.2">
      <c r="A229" t="s">
        <v>488</v>
      </c>
      <c r="B229" t="s">
        <v>489</v>
      </c>
      <c r="C229" t="s">
        <v>58</v>
      </c>
      <c r="D229" t="s">
        <v>63</v>
      </c>
      <c r="E229" t="s">
        <v>52</v>
      </c>
      <c r="F229" t="s">
        <v>83</v>
      </c>
      <c r="G229" t="s">
        <v>28</v>
      </c>
      <c r="H229" t="s">
        <v>29</v>
      </c>
      <c r="I229">
        <v>10314</v>
      </c>
      <c r="J229">
        <v>6</v>
      </c>
      <c r="K229">
        <v>4.9000000000000004</v>
      </c>
      <c r="L229">
        <v>3</v>
      </c>
      <c r="M229" t="s">
        <v>30</v>
      </c>
    </row>
    <row r="230" spans="1:13" x14ac:dyDescent="0.2">
      <c r="A230" t="s">
        <v>490</v>
      </c>
      <c r="B230" t="s">
        <v>491</v>
      </c>
      <c r="C230" t="s">
        <v>170</v>
      </c>
      <c r="D230" t="s">
        <v>51</v>
      </c>
      <c r="E230" t="s">
        <v>52</v>
      </c>
      <c r="F230" t="s">
        <v>100</v>
      </c>
      <c r="G230" t="s">
        <v>19</v>
      </c>
      <c r="H230" t="s">
        <v>20</v>
      </c>
      <c r="I230">
        <v>2404</v>
      </c>
      <c r="J230">
        <v>2</v>
      </c>
      <c r="K230">
        <v>4.0999999999999996</v>
      </c>
      <c r="L230">
        <v>1</v>
      </c>
      <c r="M230" t="s">
        <v>144</v>
      </c>
    </row>
    <row r="231" spans="1:13" x14ac:dyDescent="0.2">
      <c r="A231" t="s">
        <v>492</v>
      </c>
      <c r="B231" t="s">
        <v>493</v>
      </c>
      <c r="C231" t="s">
        <v>75</v>
      </c>
      <c r="D231" t="s">
        <v>34</v>
      </c>
      <c r="E231" t="s">
        <v>35</v>
      </c>
      <c r="F231" t="s">
        <v>53</v>
      </c>
      <c r="G231" t="s">
        <v>28</v>
      </c>
      <c r="H231" t="s">
        <v>36</v>
      </c>
      <c r="I231">
        <v>79388</v>
      </c>
      <c r="J231">
        <v>1</v>
      </c>
      <c r="K231">
        <v>4.7</v>
      </c>
      <c r="L231">
        <v>6</v>
      </c>
      <c r="M231" t="s">
        <v>126</v>
      </c>
    </row>
    <row r="232" spans="1:13" x14ac:dyDescent="0.2">
      <c r="A232" t="s">
        <v>494</v>
      </c>
      <c r="B232" t="s">
        <v>493</v>
      </c>
      <c r="C232" t="s">
        <v>122</v>
      </c>
      <c r="D232" t="s">
        <v>130</v>
      </c>
      <c r="E232" t="s">
        <v>35</v>
      </c>
      <c r="F232" t="s">
        <v>27</v>
      </c>
      <c r="G232" t="s">
        <v>19</v>
      </c>
      <c r="H232" t="s">
        <v>64</v>
      </c>
      <c r="I232">
        <v>199074</v>
      </c>
      <c r="J232">
        <v>3</v>
      </c>
      <c r="K232">
        <v>4.5</v>
      </c>
      <c r="L232">
        <v>6</v>
      </c>
      <c r="M232" t="s">
        <v>126</v>
      </c>
    </row>
    <row r="233" spans="1:13" x14ac:dyDescent="0.2">
      <c r="A233" t="s">
        <v>495</v>
      </c>
      <c r="B233" t="s">
        <v>77</v>
      </c>
      <c r="C233" t="s">
        <v>45</v>
      </c>
      <c r="D233" t="s">
        <v>130</v>
      </c>
      <c r="E233" t="s">
        <v>35</v>
      </c>
      <c r="F233" t="s">
        <v>83</v>
      </c>
      <c r="G233" t="s">
        <v>54</v>
      </c>
      <c r="H233" t="s">
        <v>64</v>
      </c>
      <c r="I233">
        <v>232746</v>
      </c>
      <c r="J233">
        <v>3</v>
      </c>
      <c r="K233">
        <v>3.3</v>
      </c>
      <c r="L233">
        <v>6</v>
      </c>
      <c r="M233" t="s">
        <v>80</v>
      </c>
    </row>
    <row r="234" spans="1:13" x14ac:dyDescent="0.2">
      <c r="A234" t="s">
        <v>496</v>
      </c>
      <c r="B234" t="s">
        <v>263</v>
      </c>
      <c r="C234" t="s">
        <v>146</v>
      </c>
      <c r="D234" t="s">
        <v>109</v>
      </c>
      <c r="E234" t="s">
        <v>52</v>
      </c>
      <c r="F234" t="s">
        <v>18</v>
      </c>
      <c r="G234" t="s">
        <v>104</v>
      </c>
      <c r="H234" t="s">
        <v>20</v>
      </c>
      <c r="I234">
        <v>6232</v>
      </c>
      <c r="J234">
        <v>4</v>
      </c>
      <c r="K234">
        <v>4.7</v>
      </c>
      <c r="L234">
        <v>6</v>
      </c>
      <c r="M234" t="s">
        <v>87</v>
      </c>
    </row>
    <row r="235" spans="1:13" x14ac:dyDescent="0.2">
      <c r="A235" t="s">
        <v>497</v>
      </c>
      <c r="B235" t="s">
        <v>450</v>
      </c>
      <c r="C235" t="s">
        <v>133</v>
      </c>
      <c r="D235" t="s">
        <v>147</v>
      </c>
      <c r="E235" t="s">
        <v>52</v>
      </c>
      <c r="F235" t="s">
        <v>60</v>
      </c>
      <c r="G235" t="s">
        <v>28</v>
      </c>
      <c r="H235" t="s">
        <v>29</v>
      </c>
      <c r="I235">
        <v>1275</v>
      </c>
      <c r="J235">
        <v>5</v>
      </c>
      <c r="K235">
        <v>4.5</v>
      </c>
      <c r="L235">
        <v>3</v>
      </c>
      <c r="M235" t="s">
        <v>126</v>
      </c>
    </row>
    <row r="236" spans="1:13" x14ac:dyDescent="0.2">
      <c r="A236" t="s">
        <v>498</v>
      </c>
      <c r="B236" t="s">
        <v>181</v>
      </c>
      <c r="C236" t="s">
        <v>40</v>
      </c>
      <c r="D236" t="s">
        <v>69</v>
      </c>
      <c r="E236" t="s">
        <v>26</v>
      </c>
      <c r="F236" t="s">
        <v>18</v>
      </c>
      <c r="G236" t="s">
        <v>104</v>
      </c>
      <c r="H236" t="s">
        <v>29</v>
      </c>
      <c r="I236">
        <v>16056</v>
      </c>
      <c r="J236">
        <v>8</v>
      </c>
      <c r="K236">
        <v>4.5999999999999996</v>
      </c>
      <c r="L236">
        <v>1</v>
      </c>
      <c r="M236" t="s">
        <v>87</v>
      </c>
    </row>
    <row r="237" spans="1:13" x14ac:dyDescent="0.2">
      <c r="A237" t="s">
        <v>499</v>
      </c>
      <c r="B237" t="s">
        <v>420</v>
      </c>
      <c r="C237" t="s">
        <v>15</v>
      </c>
      <c r="D237" t="s">
        <v>16</v>
      </c>
      <c r="E237" t="s">
        <v>17</v>
      </c>
      <c r="F237" t="s">
        <v>60</v>
      </c>
      <c r="G237" t="s">
        <v>19</v>
      </c>
      <c r="H237" t="s">
        <v>64</v>
      </c>
      <c r="I237">
        <v>3204</v>
      </c>
      <c r="J237">
        <v>3</v>
      </c>
      <c r="K237">
        <v>3.8</v>
      </c>
      <c r="L237">
        <v>8</v>
      </c>
      <c r="M237" t="s">
        <v>126</v>
      </c>
    </row>
    <row r="238" spans="1:13" x14ac:dyDescent="0.2">
      <c r="A238" t="s">
        <v>500</v>
      </c>
      <c r="B238" t="s">
        <v>181</v>
      </c>
      <c r="C238" t="s">
        <v>40</v>
      </c>
      <c r="D238" t="s">
        <v>147</v>
      </c>
      <c r="E238" t="s">
        <v>52</v>
      </c>
      <c r="F238" t="s">
        <v>83</v>
      </c>
      <c r="G238" t="s">
        <v>54</v>
      </c>
      <c r="H238" t="s">
        <v>36</v>
      </c>
      <c r="I238">
        <v>6168</v>
      </c>
      <c r="J238">
        <v>6</v>
      </c>
      <c r="K238">
        <v>3.7</v>
      </c>
      <c r="L238">
        <v>5</v>
      </c>
      <c r="M238" t="s">
        <v>87</v>
      </c>
    </row>
    <row r="239" spans="1:13" x14ac:dyDescent="0.2">
      <c r="A239" t="s">
        <v>501</v>
      </c>
      <c r="B239" t="s">
        <v>356</v>
      </c>
      <c r="C239" t="s">
        <v>179</v>
      </c>
      <c r="D239" t="s">
        <v>90</v>
      </c>
      <c r="E239" t="s">
        <v>42</v>
      </c>
      <c r="F239" t="s">
        <v>18</v>
      </c>
      <c r="G239" t="s">
        <v>54</v>
      </c>
      <c r="H239" t="s">
        <v>20</v>
      </c>
      <c r="I239">
        <v>1417</v>
      </c>
      <c r="J239">
        <v>1</v>
      </c>
      <c r="K239">
        <v>4.7</v>
      </c>
      <c r="L239">
        <v>8</v>
      </c>
      <c r="M239" t="s">
        <v>80</v>
      </c>
    </row>
    <row r="240" spans="1:13" x14ac:dyDescent="0.2">
      <c r="A240" t="s">
        <v>502</v>
      </c>
      <c r="B240" t="s">
        <v>503</v>
      </c>
      <c r="C240" t="s">
        <v>75</v>
      </c>
      <c r="D240" t="s">
        <v>109</v>
      </c>
      <c r="E240" t="s">
        <v>52</v>
      </c>
      <c r="F240" t="s">
        <v>27</v>
      </c>
      <c r="G240" t="s">
        <v>28</v>
      </c>
      <c r="H240" t="s">
        <v>20</v>
      </c>
      <c r="I240">
        <v>12104</v>
      </c>
      <c r="J240">
        <v>8</v>
      </c>
      <c r="K240">
        <v>4.8</v>
      </c>
      <c r="L240">
        <v>5</v>
      </c>
      <c r="M240" t="s">
        <v>87</v>
      </c>
    </row>
    <row r="241" spans="1:13" x14ac:dyDescent="0.2">
      <c r="A241" t="s">
        <v>504</v>
      </c>
      <c r="B241" t="s">
        <v>505</v>
      </c>
      <c r="C241" t="s">
        <v>58</v>
      </c>
      <c r="D241" t="s">
        <v>97</v>
      </c>
      <c r="E241" t="s">
        <v>35</v>
      </c>
      <c r="F241" t="s">
        <v>18</v>
      </c>
      <c r="G241" t="s">
        <v>19</v>
      </c>
      <c r="H241" t="s">
        <v>36</v>
      </c>
      <c r="I241">
        <v>111030</v>
      </c>
      <c r="J241">
        <v>3</v>
      </c>
      <c r="K241">
        <v>3.7</v>
      </c>
      <c r="L241">
        <v>5</v>
      </c>
      <c r="M241" t="s">
        <v>55</v>
      </c>
    </row>
    <row r="242" spans="1:13" x14ac:dyDescent="0.2">
      <c r="A242" t="s">
        <v>506</v>
      </c>
      <c r="B242" t="s">
        <v>507</v>
      </c>
      <c r="C242" t="s">
        <v>78</v>
      </c>
      <c r="D242" t="s">
        <v>218</v>
      </c>
      <c r="E242" t="s">
        <v>17</v>
      </c>
      <c r="F242" t="s">
        <v>27</v>
      </c>
      <c r="G242" t="s">
        <v>28</v>
      </c>
      <c r="H242" t="s">
        <v>20</v>
      </c>
      <c r="I242">
        <v>10549</v>
      </c>
      <c r="J242">
        <v>7</v>
      </c>
      <c r="K242">
        <v>4.7</v>
      </c>
      <c r="L242">
        <v>7</v>
      </c>
      <c r="M242" t="s">
        <v>30</v>
      </c>
    </row>
    <row r="243" spans="1:13" x14ac:dyDescent="0.2">
      <c r="A243" t="s">
        <v>508</v>
      </c>
      <c r="B243" t="s">
        <v>290</v>
      </c>
      <c r="C243" t="s">
        <v>68</v>
      </c>
      <c r="D243" t="s">
        <v>46</v>
      </c>
      <c r="E243" t="s">
        <v>42</v>
      </c>
      <c r="F243" t="s">
        <v>60</v>
      </c>
      <c r="G243" t="s">
        <v>19</v>
      </c>
      <c r="H243" t="s">
        <v>20</v>
      </c>
      <c r="I243">
        <v>37653</v>
      </c>
      <c r="J243">
        <v>7</v>
      </c>
      <c r="K243">
        <v>4.5999999999999996</v>
      </c>
      <c r="L243">
        <v>3</v>
      </c>
      <c r="M243" t="s">
        <v>87</v>
      </c>
    </row>
    <row r="244" spans="1:13" x14ac:dyDescent="0.2">
      <c r="A244" t="s">
        <v>509</v>
      </c>
      <c r="B244" t="s">
        <v>510</v>
      </c>
      <c r="C244" t="s">
        <v>170</v>
      </c>
      <c r="D244" t="s">
        <v>63</v>
      </c>
      <c r="E244" t="s">
        <v>52</v>
      </c>
      <c r="F244" t="s">
        <v>27</v>
      </c>
      <c r="G244" t="s">
        <v>54</v>
      </c>
      <c r="H244" t="s">
        <v>36</v>
      </c>
      <c r="I244">
        <v>570</v>
      </c>
      <c r="J244">
        <v>1</v>
      </c>
      <c r="K244">
        <v>3.5</v>
      </c>
      <c r="L244">
        <v>5</v>
      </c>
      <c r="M244" t="s">
        <v>80</v>
      </c>
    </row>
    <row r="245" spans="1:13" x14ac:dyDescent="0.2">
      <c r="A245" t="s">
        <v>511</v>
      </c>
      <c r="B245" t="s">
        <v>39</v>
      </c>
      <c r="C245" t="s">
        <v>68</v>
      </c>
      <c r="D245" t="s">
        <v>90</v>
      </c>
      <c r="E245" t="s">
        <v>42</v>
      </c>
      <c r="F245" t="s">
        <v>60</v>
      </c>
      <c r="G245" t="s">
        <v>19</v>
      </c>
      <c r="H245" t="s">
        <v>20</v>
      </c>
      <c r="I245">
        <v>4806</v>
      </c>
      <c r="J245">
        <v>6</v>
      </c>
      <c r="K245">
        <v>4.3</v>
      </c>
      <c r="L245">
        <v>7</v>
      </c>
      <c r="M245" t="s">
        <v>30</v>
      </c>
    </row>
    <row r="246" spans="1:13" x14ac:dyDescent="0.2">
      <c r="A246" t="s">
        <v>512</v>
      </c>
      <c r="B246" t="s">
        <v>111</v>
      </c>
      <c r="C246" t="s">
        <v>58</v>
      </c>
      <c r="D246" t="s">
        <v>25</v>
      </c>
      <c r="E246" t="s">
        <v>26</v>
      </c>
      <c r="F246" t="s">
        <v>100</v>
      </c>
      <c r="G246" t="s">
        <v>28</v>
      </c>
      <c r="H246" t="s">
        <v>36</v>
      </c>
      <c r="I246">
        <v>10254</v>
      </c>
      <c r="J246">
        <v>2</v>
      </c>
      <c r="K246">
        <v>3.9</v>
      </c>
      <c r="L246">
        <v>8</v>
      </c>
      <c r="M246" t="s">
        <v>87</v>
      </c>
    </row>
    <row r="247" spans="1:13" x14ac:dyDescent="0.2">
      <c r="A247" t="s">
        <v>513</v>
      </c>
      <c r="B247" t="s">
        <v>514</v>
      </c>
      <c r="C247" t="s">
        <v>125</v>
      </c>
      <c r="D247" t="s">
        <v>109</v>
      </c>
      <c r="E247" t="s">
        <v>52</v>
      </c>
      <c r="F247" t="s">
        <v>53</v>
      </c>
      <c r="G247" t="s">
        <v>104</v>
      </c>
      <c r="H247" t="s">
        <v>36</v>
      </c>
      <c r="I247">
        <v>5685</v>
      </c>
      <c r="J247">
        <v>3</v>
      </c>
      <c r="K247">
        <v>4.4000000000000004</v>
      </c>
      <c r="L247">
        <v>1</v>
      </c>
      <c r="M247" t="s">
        <v>55</v>
      </c>
    </row>
    <row r="248" spans="1:13" x14ac:dyDescent="0.2">
      <c r="A248" t="s">
        <v>515</v>
      </c>
      <c r="B248" t="s">
        <v>516</v>
      </c>
      <c r="C248" t="s">
        <v>170</v>
      </c>
      <c r="D248" t="s">
        <v>130</v>
      </c>
      <c r="E248" t="s">
        <v>35</v>
      </c>
      <c r="F248" t="s">
        <v>53</v>
      </c>
      <c r="G248" t="s">
        <v>28</v>
      </c>
      <c r="H248" t="s">
        <v>36</v>
      </c>
      <c r="I248">
        <v>161890</v>
      </c>
      <c r="J248">
        <v>5</v>
      </c>
      <c r="K248">
        <v>5</v>
      </c>
      <c r="L248">
        <v>8</v>
      </c>
      <c r="M248" t="s">
        <v>126</v>
      </c>
    </row>
    <row r="249" spans="1:13" x14ac:dyDescent="0.2">
      <c r="A249" t="s">
        <v>517</v>
      </c>
      <c r="B249" t="s">
        <v>57</v>
      </c>
      <c r="C249" t="s">
        <v>40</v>
      </c>
      <c r="D249" t="s">
        <v>51</v>
      </c>
      <c r="E249" t="s">
        <v>52</v>
      </c>
      <c r="F249" t="s">
        <v>27</v>
      </c>
      <c r="G249" t="s">
        <v>28</v>
      </c>
      <c r="H249" t="s">
        <v>20</v>
      </c>
      <c r="I249">
        <v>16555</v>
      </c>
      <c r="J249">
        <v>7</v>
      </c>
      <c r="K249">
        <v>4.5999999999999996</v>
      </c>
      <c r="L249">
        <v>2</v>
      </c>
      <c r="M249" t="s">
        <v>37</v>
      </c>
    </row>
    <row r="250" spans="1:13" x14ac:dyDescent="0.2">
      <c r="A250" t="s">
        <v>518</v>
      </c>
      <c r="B250" t="s">
        <v>519</v>
      </c>
      <c r="C250" t="s">
        <v>179</v>
      </c>
      <c r="D250" t="s">
        <v>25</v>
      </c>
      <c r="E250" t="s">
        <v>26</v>
      </c>
      <c r="F250" t="s">
        <v>53</v>
      </c>
      <c r="G250" t="s">
        <v>104</v>
      </c>
      <c r="H250" t="s">
        <v>64</v>
      </c>
      <c r="I250">
        <v>33112</v>
      </c>
      <c r="J250">
        <v>4</v>
      </c>
      <c r="K250">
        <v>3.3</v>
      </c>
      <c r="L250">
        <v>6</v>
      </c>
      <c r="M250" t="s">
        <v>80</v>
      </c>
    </row>
    <row r="251" spans="1:13" x14ac:dyDescent="0.2">
      <c r="A251" t="s">
        <v>520</v>
      </c>
      <c r="B251" t="s">
        <v>521</v>
      </c>
      <c r="C251" t="s">
        <v>125</v>
      </c>
      <c r="D251" t="s">
        <v>69</v>
      </c>
      <c r="E251" t="s">
        <v>26</v>
      </c>
      <c r="F251" t="s">
        <v>100</v>
      </c>
      <c r="G251" t="s">
        <v>104</v>
      </c>
      <c r="H251" t="s">
        <v>29</v>
      </c>
      <c r="I251">
        <v>17616</v>
      </c>
      <c r="J251">
        <v>2</v>
      </c>
      <c r="K251">
        <v>4.3</v>
      </c>
      <c r="L251">
        <v>3</v>
      </c>
      <c r="M251" t="s">
        <v>192</v>
      </c>
    </row>
    <row r="252" spans="1:13" x14ac:dyDescent="0.2">
      <c r="A252" t="s">
        <v>522</v>
      </c>
      <c r="B252" t="s">
        <v>523</v>
      </c>
      <c r="C252" t="s">
        <v>122</v>
      </c>
      <c r="D252" t="s">
        <v>109</v>
      </c>
      <c r="E252" t="s">
        <v>52</v>
      </c>
      <c r="F252" t="s">
        <v>27</v>
      </c>
      <c r="G252" t="s">
        <v>19</v>
      </c>
      <c r="H252" t="s">
        <v>20</v>
      </c>
      <c r="I252">
        <v>724</v>
      </c>
      <c r="J252">
        <v>2</v>
      </c>
      <c r="K252">
        <v>4.7</v>
      </c>
      <c r="L252">
        <v>4</v>
      </c>
      <c r="M252" t="s">
        <v>119</v>
      </c>
    </row>
    <row r="253" spans="1:13" x14ac:dyDescent="0.2">
      <c r="A253" t="s">
        <v>524</v>
      </c>
      <c r="B253" t="s">
        <v>525</v>
      </c>
      <c r="C253" t="s">
        <v>122</v>
      </c>
      <c r="D253" t="s">
        <v>97</v>
      </c>
      <c r="E253" t="s">
        <v>35</v>
      </c>
      <c r="F253" t="s">
        <v>53</v>
      </c>
      <c r="G253" t="s">
        <v>104</v>
      </c>
      <c r="H253" t="s">
        <v>29</v>
      </c>
      <c r="I253">
        <v>64640</v>
      </c>
      <c r="J253">
        <v>1</v>
      </c>
      <c r="K253">
        <v>3.5</v>
      </c>
      <c r="L253">
        <v>1</v>
      </c>
      <c r="M253" t="s">
        <v>65</v>
      </c>
    </row>
    <row r="254" spans="1:13" x14ac:dyDescent="0.2">
      <c r="A254" t="s">
        <v>526</v>
      </c>
      <c r="B254" t="s">
        <v>527</v>
      </c>
      <c r="C254" t="s">
        <v>58</v>
      </c>
      <c r="D254" t="s">
        <v>90</v>
      </c>
      <c r="E254" t="s">
        <v>42</v>
      </c>
      <c r="F254" t="s">
        <v>18</v>
      </c>
      <c r="G254" t="s">
        <v>54</v>
      </c>
      <c r="H254" t="s">
        <v>29</v>
      </c>
      <c r="I254">
        <v>25400</v>
      </c>
      <c r="J254">
        <v>8</v>
      </c>
      <c r="K254">
        <v>4.0999999999999996</v>
      </c>
      <c r="L254">
        <v>7</v>
      </c>
      <c r="M254" t="s">
        <v>126</v>
      </c>
    </row>
    <row r="255" spans="1:13" x14ac:dyDescent="0.2">
      <c r="A255" t="s">
        <v>528</v>
      </c>
      <c r="B255" t="s">
        <v>187</v>
      </c>
      <c r="C255" t="s">
        <v>103</v>
      </c>
      <c r="D255" t="s">
        <v>59</v>
      </c>
      <c r="E255" t="s">
        <v>26</v>
      </c>
      <c r="F255" t="s">
        <v>27</v>
      </c>
      <c r="G255" t="s">
        <v>104</v>
      </c>
      <c r="H255" t="s">
        <v>20</v>
      </c>
      <c r="I255">
        <v>22590</v>
      </c>
      <c r="J255">
        <v>2</v>
      </c>
      <c r="K255">
        <v>3.8</v>
      </c>
      <c r="L255">
        <v>5</v>
      </c>
      <c r="M255" t="s">
        <v>126</v>
      </c>
    </row>
    <row r="256" spans="1:13" x14ac:dyDescent="0.2">
      <c r="A256" t="s">
        <v>529</v>
      </c>
      <c r="B256" t="s">
        <v>530</v>
      </c>
      <c r="C256" t="s">
        <v>103</v>
      </c>
      <c r="D256" t="s">
        <v>63</v>
      </c>
      <c r="E256" t="s">
        <v>52</v>
      </c>
      <c r="F256" t="s">
        <v>60</v>
      </c>
      <c r="G256" t="s">
        <v>28</v>
      </c>
      <c r="H256" t="s">
        <v>64</v>
      </c>
      <c r="I256">
        <v>10913</v>
      </c>
      <c r="J256">
        <v>7</v>
      </c>
      <c r="K256">
        <v>4.0999999999999996</v>
      </c>
      <c r="L256">
        <v>5</v>
      </c>
      <c r="M256" t="s">
        <v>144</v>
      </c>
    </row>
    <row r="257" spans="1:13" x14ac:dyDescent="0.2">
      <c r="A257" t="s">
        <v>531</v>
      </c>
      <c r="B257" t="s">
        <v>420</v>
      </c>
      <c r="C257" t="s">
        <v>78</v>
      </c>
      <c r="D257" t="s">
        <v>86</v>
      </c>
      <c r="E257" t="s">
        <v>17</v>
      </c>
      <c r="F257" t="s">
        <v>83</v>
      </c>
      <c r="G257" t="s">
        <v>104</v>
      </c>
      <c r="H257" t="s">
        <v>36</v>
      </c>
      <c r="I257">
        <v>6820</v>
      </c>
      <c r="J257">
        <v>4</v>
      </c>
      <c r="K257">
        <v>3.7</v>
      </c>
      <c r="L257">
        <v>3</v>
      </c>
      <c r="M257" t="s">
        <v>126</v>
      </c>
    </row>
    <row r="258" spans="1:13" x14ac:dyDescent="0.2">
      <c r="A258" t="s">
        <v>532</v>
      </c>
      <c r="B258" t="s">
        <v>533</v>
      </c>
      <c r="C258" t="s">
        <v>133</v>
      </c>
      <c r="D258" t="s">
        <v>159</v>
      </c>
      <c r="E258" t="s">
        <v>42</v>
      </c>
      <c r="F258" t="s">
        <v>53</v>
      </c>
      <c r="G258" t="s">
        <v>104</v>
      </c>
      <c r="H258" t="s">
        <v>29</v>
      </c>
      <c r="I258">
        <v>7560</v>
      </c>
      <c r="J258">
        <v>3</v>
      </c>
      <c r="K258">
        <v>3.6</v>
      </c>
      <c r="L258">
        <v>5</v>
      </c>
      <c r="M258" t="s">
        <v>21</v>
      </c>
    </row>
    <row r="259" spans="1:13" x14ac:dyDescent="0.2">
      <c r="A259" t="s">
        <v>534</v>
      </c>
      <c r="B259" t="s">
        <v>172</v>
      </c>
      <c r="C259" t="s">
        <v>112</v>
      </c>
      <c r="D259" t="s">
        <v>59</v>
      </c>
      <c r="E259" t="s">
        <v>26</v>
      </c>
      <c r="F259" t="s">
        <v>18</v>
      </c>
      <c r="G259" t="s">
        <v>28</v>
      </c>
      <c r="H259" t="s">
        <v>29</v>
      </c>
      <c r="I259">
        <v>21936</v>
      </c>
      <c r="J259">
        <v>2</v>
      </c>
      <c r="K259">
        <v>3.3</v>
      </c>
      <c r="L259">
        <v>4</v>
      </c>
      <c r="M259" t="s">
        <v>47</v>
      </c>
    </row>
    <row r="260" spans="1:13" x14ac:dyDescent="0.2">
      <c r="A260" t="s">
        <v>535</v>
      </c>
      <c r="B260" t="s">
        <v>536</v>
      </c>
      <c r="C260" t="s">
        <v>75</v>
      </c>
      <c r="D260" t="s">
        <v>41</v>
      </c>
      <c r="E260" t="s">
        <v>42</v>
      </c>
      <c r="F260" t="s">
        <v>60</v>
      </c>
      <c r="G260" t="s">
        <v>104</v>
      </c>
      <c r="H260" t="s">
        <v>20</v>
      </c>
      <c r="I260">
        <v>16092</v>
      </c>
      <c r="J260">
        <v>3</v>
      </c>
      <c r="K260">
        <v>3.5</v>
      </c>
      <c r="L260">
        <v>3</v>
      </c>
      <c r="M260" t="s">
        <v>80</v>
      </c>
    </row>
    <row r="261" spans="1:13" x14ac:dyDescent="0.2">
      <c r="A261" t="s">
        <v>537</v>
      </c>
      <c r="B261" t="s">
        <v>538</v>
      </c>
      <c r="C261" t="s">
        <v>72</v>
      </c>
      <c r="D261" t="s">
        <v>113</v>
      </c>
      <c r="E261" t="s">
        <v>35</v>
      </c>
      <c r="F261" t="s">
        <v>100</v>
      </c>
      <c r="G261" t="s">
        <v>28</v>
      </c>
      <c r="H261" t="s">
        <v>64</v>
      </c>
      <c r="I261">
        <v>196792</v>
      </c>
      <c r="J261">
        <v>8</v>
      </c>
      <c r="K261">
        <v>4.0999999999999996</v>
      </c>
      <c r="L261">
        <v>2</v>
      </c>
      <c r="M261" t="s">
        <v>144</v>
      </c>
    </row>
    <row r="262" spans="1:13" x14ac:dyDescent="0.2">
      <c r="A262" t="s">
        <v>539</v>
      </c>
      <c r="B262" t="s">
        <v>446</v>
      </c>
      <c r="C262" t="s">
        <v>112</v>
      </c>
      <c r="D262" t="s">
        <v>90</v>
      </c>
      <c r="E262" t="s">
        <v>42</v>
      </c>
      <c r="F262" t="s">
        <v>83</v>
      </c>
      <c r="G262" t="s">
        <v>54</v>
      </c>
      <c r="H262" t="s">
        <v>36</v>
      </c>
      <c r="I262">
        <v>16331</v>
      </c>
      <c r="J262">
        <v>7</v>
      </c>
      <c r="K262">
        <v>4.9000000000000004</v>
      </c>
      <c r="L262">
        <v>6</v>
      </c>
      <c r="M262" t="s">
        <v>65</v>
      </c>
    </row>
    <row r="263" spans="1:13" x14ac:dyDescent="0.2">
      <c r="A263" t="s">
        <v>540</v>
      </c>
      <c r="B263" t="s">
        <v>199</v>
      </c>
      <c r="C263" t="s">
        <v>75</v>
      </c>
      <c r="D263" t="s">
        <v>63</v>
      </c>
      <c r="E263" t="s">
        <v>52</v>
      </c>
      <c r="F263" t="s">
        <v>18</v>
      </c>
      <c r="G263" t="s">
        <v>104</v>
      </c>
      <c r="H263" t="s">
        <v>29</v>
      </c>
      <c r="I263">
        <v>4668</v>
      </c>
      <c r="J263">
        <v>6</v>
      </c>
      <c r="K263">
        <v>4.3</v>
      </c>
      <c r="L263">
        <v>3</v>
      </c>
      <c r="M263" t="s">
        <v>119</v>
      </c>
    </row>
    <row r="264" spans="1:13" x14ac:dyDescent="0.2">
      <c r="A264" t="s">
        <v>541</v>
      </c>
      <c r="B264" t="s">
        <v>391</v>
      </c>
      <c r="C264" t="s">
        <v>15</v>
      </c>
      <c r="D264" t="s">
        <v>46</v>
      </c>
      <c r="E264" t="s">
        <v>42</v>
      </c>
      <c r="F264" t="s">
        <v>83</v>
      </c>
      <c r="G264" t="s">
        <v>19</v>
      </c>
      <c r="H264" t="s">
        <v>20</v>
      </c>
      <c r="I264">
        <v>6729</v>
      </c>
      <c r="J264">
        <v>3</v>
      </c>
      <c r="K264">
        <v>4.9000000000000004</v>
      </c>
      <c r="L264">
        <v>7</v>
      </c>
      <c r="M264" t="s">
        <v>47</v>
      </c>
    </row>
    <row r="265" spans="1:13" x14ac:dyDescent="0.2">
      <c r="A265" t="s">
        <v>542</v>
      </c>
      <c r="B265" t="s">
        <v>543</v>
      </c>
      <c r="C265" t="s">
        <v>45</v>
      </c>
      <c r="D265" t="s">
        <v>147</v>
      </c>
      <c r="E265" t="s">
        <v>52</v>
      </c>
      <c r="F265" t="s">
        <v>18</v>
      </c>
      <c r="G265" t="s">
        <v>54</v>
      </c>
      <c r="H265" t="s">
        <v>36</v>
      </c>
      <c r="I265">
        <v>5253</v>
      </c>
      <c r="J265">
        <v>3</v>
      </c>
      <c r="K265">
        <v>3.7</v>
      </c>
      <c r="L265">
        <v>1</v>
      </c>
      <c r="M265" t="s">
        <v>30</v>
      </c>
    </row>
    <row r="266" spans="1:13" x14ac:dyDescent="0.2">
      <c r="A266" t="s">
        <v>544</v>
      </c>
      <c r="B266" t="s">
        <v>545</v>
      </c>
      <c r="C266" t="s">
        <v>15</v>
      </c>
      <c r="D266" t="s">
        <v>16</v>
      </c>
      <c r="E266" t="s">
        <v>17</v>
      </c>
      <c r="F266" t="s">
        <v>53</v>
      </c>
      <c r="G266" t="s">
        <v>28</v>
      </c>
      <c r="H266" t="s">
        <v>36</v>
      </c>
      <c r="I266">
        <v>8624</v>
      </c>
      <c r="J266">
        <v>8</v>
      </c>
      <c r="K266">
        <v>4.5</v>
      </c>
      <c r="L266">
        <v>4</v>
      </c>
      <c r="M266" t="s">
        <v>47</v>
      </c>
    </row>
    <row r="267" spans="1:13" x14ac:dyDescent="0.2">
      <c r="A267" t="s">
        <v>546</v>
      </c>
      <c r="B267" t="s">
        <v>547</v>
      </c>
      <c r="C267" t="s">
        <v>125</v>
      </c>
      <c r="D267" t="s">
        <v>59</v>
      </c>
      <c r="E267" t="s">
        <v>26</v>
      </c>
      <c r="F267" t="s">
        <v>83</v>
      </c>
      <c r="G267" t="s">
        <v>19</v>
      </c>
      <c r="H267" t="s">
        <v>29</v>
      </c>
      <c r="I267">
        <v>8184</v>
      </c>
      <c r="J267">
        <v>3</v>
      </c>
      <c r="K267">
        <v>3.7</v>
      </c>
      <c r="L267">
        <v>2</v>
      </c>
      <c r="M267" t="s">
        <v>192</v>
      </c>
    </row>
    <row r="268" spans="1:13" x14ac:dyDescent="0.2">
      <c r="A268" t="s">
        <v>548</v>
      </c>
      <c r="B268" t="s">
        <v>549</v>
      </c>
      <c r="C268" t="s">
        <v>170</v>
      </c>
      <c r="D268" t="s">
        <v>79</v>
      </c>
      <c r="E268" t="s">
        <v>26</v>
      </c>
      <c r="F268" t="s">
        <v>83</v>
      </c>
      <c r="G268" t="s">
        <v>54</v>
      </c>
      <c r="H268" t="s">
        <v>36</v>
      </c>
      <c r="I268">
        <v>62524</v>
      </c>
      <c r="J268">
        <v>7</v>
      </c>
      <c r="K268">
        <v>4.8</v>
      </c>
      <c r="L268">
        <v>8</v>
      </c>
      <c r="M268" t="s">
        <v>55</v>
      </c>
    </row>
    <row r="269" spans="1:13" x14ac:dyDescent="0.2">
      <c r="A269" t="s">
        <v>550</v>
      </c>
      <c r="B269" t="s">
        <v>252</v>
      </c>
      <c r="C269" t="s">
        <v>146</v>
      </c>
      <c r="D269" t="s">
        <v>16</v>
      </c>
      <c r="E269" t="s">
        <v>17</v>
      </c>
      <c r="F269" t="s">
        <v>53</v>
      </c>
      <c r="G269" t="s">
        <v>104</v>
      </c>
      <c r="H269" t="s">
        <v>64</v>
      </c>
      <c r="I269">
        <v>4840</v>
      </c>
      <c r="J269">
        <v>8</v>
      </c>
      <c r="K269">
        <v>4.8</v>
      </c>
      <c r="L269">
        <v>4</v>
      </c>
      <c r="M269" t="s">
        <v>30</v>
      </c>
    </row>
    <row r="270" spans="1:13" x14ac:dyDescent="0.2">
      <c r="A270" t="s">
        <v>551</v>
      </c>
      <c r="B270" t="s">
        <v>350</v>
      </c>
      <c r="C270" t="s">
        <v>15</v>
      </c>
      <c r="D270" t="s">
        <v>16</v>
      </c>
      <c r="E270" t="s">
        <v>17</v>
      </c>
      <c r="F270" t="s">
        <v>83</v>
      </c>
      <c r="G270" t="s">
        <v>19</v>
      </c>
      <c r="H270" t="s">
        <v>29</v>
      </c>
      <c r="I270">
        <v>895</v>
      </c>
      <c r="J270">
        <v>1</v>
      </c>
      <c r="K270">
        <v>3.4</v>
      </c>
      <c r="L270">
        <v>1</v>
      </c>
      <c r="M270" t="s">
        <v>80</v>
      </c>
    </row>
    <row r="271" spans="1:13" x14ac:dyDescent="0.2">
      <c r="A271" t="s">
        <v>552</v>
      </c>
      <c r="B271" t="s">
        <v>547</v>
      </c>
      <c r="C271" t="s">
        <v>103</v>
      </c>
      <c r="D271" t="s">
        <v>97</v>
      </c>
      <c r="E271" t="s">
        <v>35</v>
      </c>
      <c r="F271" t="s">
        <v>60</v>
      </c>
      <c r="G271" t="s">
        <v>28</v>
      </c>
      <c r="H271" t="s">
        <v>64</v>
      </c>
      <c r="I271">
        <v>237105</v>
      </c>
      <c r="J271">
        <v>5</v>
      </c>
      <c r="K271">
        <v>3.9</v>
      </c>
      <c r="L271">
        <v>8</v>
      </c>
      <c r="M271" t="s">
        <v>192</v>
      </c>
    </row>
    <row r="272" spans="1:13" x14ac:dyDescent="0.2">
      <c r="A272" t="s">
        <v>553</v>
      </c>
      <c r="B272" t="s">
        <v>106</v>
      </c>
      <c r="C272" t="s">
        <v>24</v>
      </c>
      <c r="D272" t="s">
        <v>147</v>
      </c>
      <c r="E272" t="s">
        <v>52</v>
      </c>
      <c r="F272" t="s">
        <v>100</v>
      </c>
      <c r="G272" t="s">
        <v>28</v>
      </c>
      <c r="H272" t="s">
        <v>29</v>
      </c>
      <c r="I272">
        <v>674</v>
      </c>
      <c r="J272">
        <v>1</v>
      </c>
      <c r="K272">
        <v>4.5999999999999996</v>
      </c>
      <c r="L272">
        <v>8</v>
      </c>
      <c r="M272" t="s">
        <v>80</v>
      </c>
    </row>
    <row r="273" spans="1:13" x14ac:dyDescent="0.2">
      <c r="A273" t="s">
        <v>554</v>
      </c>
      <c r="B273" t="s">
        <v>555</v>
      </c>
      <c r="C273" t="s">
        <v>170</v>
      </c>
      <c r="D273" t="s">
        <v>25</v>
      </c>
      <c r="E273" t="s">
        <v>26</v>
      </c>
      <c r="F273" t="s">
        <v>18</v>
      </c>
      <c r="G273" t="s">
        <v>19</v>
      </c>
      <c r="H273" t="s">
        <v>29</v>
      </c>
      <c r="I273">
        <v>24060</v>
      </c>
      <c r="J273">
        <v>3</v>
      </c>
      <c r="K273">
        <v>3.3</v>
      </c>
      <c r="L273">
        <v>5</v>
      </c>
      <c r="M273" t="s">
        <v>119</v>
      </c>
    </row>
    <row r="274" spans="1:13" x14ac:dyDescent="0.2">
      <c r="A274" t="s">
        <v>556</v>
      </c>
      <c r="B274" t="s">
        <v>557</v>
      </c>
      <c r="C274" t="s">
        <v>15</v>
      </c>
      <c r="D274" t="s">
        <v>25</v>
      </c>
      <c r="E274" t="s">
        <v>26</v>
      </c>
      <c r="F274" t="s">
        <v>27</v>
      </c>
      <c r="G274" t="s">
        <v>19</v>
      </c>
      <c r="H274" t="s">
        <v>64</v>
      </c>
      <c r="I274">
        <v>39788</v>
      </c>
      <c r="J274">
        <v>4</v>
      </c>
      <c r="K274">
        <v>4.8</v>
      </c>
      <c r="L274">
        <v>1</v>
      </c>
      <c r="M274" t="s">
        <v>47</v>
      </c>
    </row>
    <row r="275" spans="1:13" x14ac:dyDescent="0.2">
      <c r="A275" t="s">
        <v>558</v>
      </c>
      <c r="B275" t="s">
        <v>559</v>
      </c>
      <c r="C275" t="s">
        <v>50</v>
      </c>
      <c r="D275" t="s">
        <v>159</v>
      </c>
      <c r="E275" t="s">
        <v>42</v>
      </c>
      <c r="F275" t="s">
        <v>83</v>
      </c>
      <c r="G275" t="s">
        <v>54</v>
      </c>
      <c r="H275" t="s">
        <v>64</v>
      </c>
      <c r="I275">
        <v>23824</v>
      </c>
      <c r="J275">
        <v>8</v>
      </c>
      <c r="K275">
        <v>4.0999999999999996</v>
      </c>
      <c r="L275">
        <v>7</v>
      </c>
      <c r="M275" t="s">
        <v>87</v>
      </c>
    </row>
    <row r="276" spans="1:13" x14ac:dyDescent="0.2">
      <c r="A276" t="s">
        <v>560</v>
      </c>
      <c r="B276" t="s">
        <v>561</v>
      </c>
      <c r="C276" t="s">
        <v>133</v>
      </c>
      <c r="D276" t="s">
        <v>90</v>
      </c>
      <c r="E276" t="s">
        <v>42</v>
      </c>
      <c r="F276" t="s">
        <v>18</v>
      </c>
      <c r="G276" t="s">
        <v>54</v>
      </c>
      <c r="H276" t="s">
        <v>36</v>
      </c>
      <c r="I276">
        <v>38192</v>
      </c>
      <c r="J276">
        <v>8</v>
      </c>
      <c r="K276">
        <v>3.2</v>
      </c>
      <c r="L276">
        <v>7</v>
      </c>
      <c r="M276" t="s">
        <v>87</v>
      </c>
    </row>
    <row r="277" spans="1:13" x14ac:dyDescent="0.2">
      <c r="A277" t="s">
        <v>562</v>
      </c>
      <c r="B277" t="s">
        <v>62</v>
      </c>
      <c r="C277" t="s">
        <v>170</v>
      </c>
      <c r="D277" t="s">
        <v>59</v>
      </c>
      <c r="E277" t="s">
        <v>26</v>
      </c>
      <c r="F277" t="s">
        <v>100</v>
      </c>
      <c r="G277" t="s">
        <v>28</v>
      </c>
      <c r="H277" t="s">
        <v>29</v>
      </c>
      <c r="I277">
        <v>6756</v>
      </c>
      <c r="J277">
        <v>4</v>
      </c>
      <c r="K277">
        <v>4.7</v>
      </c>
      <c r="L277">
        <v>8</v>
      </c>
      <c r="M277" t="s">
        <v>65</v>
      </c>
    </row>
    <row r="278" spans="1:13" x14ac:dyDescent="0.2">
      <c r="A278" t="s">
        <v>563</v>
      </c>
      <c r="B278" t="s">
        <v>564</v>
      </c>
      <c r="C278" t="s">
        <v>68</v>
      </c>
      <c r="D278" t="s">
        <v>41</v>
      </c>
      <c r="E278" t="s">
        <v>42</v>
      </c>
      <c r="F278" t="s">
        <v>18</v>
      </c>
      <c r="G278" t="s">
        <v>19</v>
      </c>
      <c r="H278" t="s">
        <v>64</v>
      </c>
      <c r="I278">
        <v>23560</v>
      </c>
      <c r="J278">
        <v>4</v>
      </c>
      <c r="K278">
        <v>4.2</v>
      </c>
      <c r="L278">
        <v>6</v>
      </c>
      <c r="M278" t="s">
        <v>87</v>
      </c>
    </row>
    <row r="279" spans="1:13" x14ac:dyDescent="0.2">
      <c r="A279" t="s">
        <v>565</v>
      </c>
      <c r="B279" t="s">
        <v>111</v>
      </c>
      <c r="C279" t="s">
        <v>170</v>
      </c>
      <c r="D279" t="s">
        <v>51</v>
      </c>
      <c r="E279" t="s">
        <v>52</v>
      </c>
      <c r="F279" t="s">
        <v>18</v>
      </c>
      <c r="G279" t="s">
        <v>28</v>
      </c>
      <c r="H279" t="s">
        <v>36</v>
      </c>
      <c r="I279">
        <v>5260</v>
      </c>
      <c r="J279">
        <v>5</v>
      </c>
      <c r="K279">
        <v>3.6</v>
      </c>
      <c r="L279">
        <v>4</v>
      </c>
      <c r="M279" t="s">
        <v>87</v>
      </c>
    </row>
    <row r="280" spans="1:13" x14ac:dyDescent="0.2">
      <c r="A280" t="s">
        <v>566</v>
      </c>
      <c r="B280" t="s">
        <v>396</v>
      </c>
      <c r="C280" t="s">
        <v>78</v>
      </c>
      <c r="D280" t="s">
        <v>25</v>
      </c>
      <c r="E280" t="s">
        <v>26</v>
      </c>
      <c r="F280" t="s">
        <v>60</v>
      </c>
      <c r="G280" t="s">
        <v>28</v>
      </c>
      <c r="H280" t="s">
        <v>20</v>
      </c>
      <c r="I280">
        <v>6968</v>
      </c>
      <c r="J280">
        <v>8</v>
      </c>
      <c r="K280">
        <v>4.2</v>
      </c>
      <c r="L280">
        <v>1</v>
      </c>
      <c r="M280" t="s">
        <v>47</v>
      </c>
    </row>
    <row r="281" spans="1:13" x14ac:dyDescent="0.2">
      <c r="A281" t="s">
        <v>567</v>
      </c>
      <c r="B281" t="s">
        <v>77</v>
      </c>
      <c r="C281" t="s">
        <v>103</v>
      </c>
      <c r="D281" t="s">
        <v>79</v>
      </c>
      <c r="E281" t="s">
        <v>26</v>
      </c>
      <c r="F281" t="s">
        <v>60</v>
      </c>
      <c r="G281" t="s">
        <v>104</v>
      </c>
      <c r="H281" t="s">
        <v>29</v>
      </c>
      <c r="I281">
        <v>15318</v>
      </c>
      <c r="J281">
        <v>2</v>
      </c>
      <c r="K281">
        <v>5</v>
      </c>
      <c r="L281">
        <v>4</v>
      </c>
      <c r="M281" t="s">
        <v>80</v>
      </c>
    </row>
    <row r="282" spans="1:13" x14ac:dyDescent="0.2">
      <c r="A282" t="s">
        <v>568</v>
      </c>
      <c r="B282" t="s">
        <v>385</v>
      </c>
      <c r="C282" t="s">
        <v>179</v>
      </c>
      <c r="D282" t="s">
        <v>159</v>
      </c>
      <c r="E282" t="s">
        <v>42</v>
      </c>
      <c r="F282" t="s">
        <v>83</v>
      </c>
      <c r="G282" t="s">
        <v>104</v>
      </c>
      <c r="H282" t="s">
        <v>29</v>
      </c>
      <c r="I282">
        <v>36309</v>
      </c>
      <c r="J282">
        <v>7</v>
      </c>
      <c r="K282">
        <v>4.5</v>
      </c>
      <c r="L282">
        <v>4</v>
      </c>
      <c r="M282" t="s">
        <v>80</v>
      </c>
    </row>
    <row r="283" spans="1:13" x14ac:dyDescent="0.2">
      <c r="A283" t="s">
        <v>569</v>
      </c>
      <c r="B283" t="s">
        <v>570</v>
      </c>
      <c r="C283" t="s">
        <v>78</v>
      </c>
      <c r="D283" t="s">
        <v>63</v>
      </c>
      <c r="E283" t="s">
        <v>52</v>
      </c>
      <c r="F283" t="s">
        <v>53</v>
      </c>
      <c r="G283" t="s">
        <v>28</v>
      </c>
      <c r="H283" t="s">
        <v>36</v>
      </c>
      <c r="I283">
        <v>4332</v>
      </c>
      <c r="J283">
        <v>6</v>
      </c>
      <c r="K283">
        <v>4.2</v>
      </c>
      <c r="L283">
        <v>7</v>
      </c>
      <c r="M283" t="s">
        <v>65</v>
      </c>
    </row>
    <row r="284" spans="1:13" x14ac:dyDescent="0.2">
      <c r="A284" t="s">
        <v>571</v>
      </c>
      <c r="B284" t="s">
        <v>143</v>
      </c>
      <c r="C284" t="s">
        <v>40</v>
      </c>
      <c r="D284" t="s">
        <v>25</v>
      </c>
      <c r="E284" t="s">
        <v>26</v>
      </c>
      <c r="F284" t="s">
        <v>27</v>
      </c>
      <c r="G284" t="s">
        <v>104</v>
      </c>
      <c r="H284" t="s">
        <v>20</v>
      </c>
      <c r="I284">
        <v>36218</v>
      </c>
      <c r="J284">
        <v>7</v>
      </c>
      <c r="K284">
        <v>4.5999999999999996</v>
      </c>
      <c r="L284">
        <v>3</v>
      </c>
      <c r="M284" t="s">
        <v>144</v>
      </c>
    </row>
    <row r="285" spans="1:13" x14ac:dyDescent="0.2">
      <c r="A285" t="s">
        <v>572</v>
      </c>
      <c r="B285" t="s">
        <v>573</v>
      </c>
      <c r="C285" t="s">
        <v>78</v>
      </c>
      <c r="D285" t="s">
        <v>218</v>
      </c>
      <c r="E285" t="s">
        <v>17</v>
      </c>
      <c r="F285" t="s">
        <v>60</v>
      </c>
      <c r="G285" t="s">
        <v>19</v>
      </c>
      <c r="H285" t="s">
        <v>29</v>
      </c>
      <c r="I285">
        <v>1034</v>
      </c>
      <c r="J285">
        <v>1</v>
      </c>
      <c r="K285">
        <v>4.5</v>
      </c>
      <c r="L285">
        <v>4</v>
      </c>
      <c r="M285" t="s">
        <v>37</v>
      </c>
    </row>
    <row r="286" spans="1:13" x14ac:dyDescent="0.2">
      <c r="A286" t="s">
        <v>574</v>
      </c>
      <c r="B286" t="s">
        <v>454</v>
      </c>
      <c r="C286" t="s">
        <v>45</v>
      </c>
      <c r="D286" t="s">
        <v>116</v>
      </c>
      <c r="E286" t="s">
        <v>17</v>
      </c>
      <c r="F286" t="s">
        <v>60</v>
      </c>
      <c r="G286" t="s">
        <v>19</v>
      </c>
      <c r="H286" t="s">
        <v>29</v>
      </c>
      <c r="I286">
        <v>11921</v>
      </c>
      <c r="J286">
        <v>7</v>
      </c>
      <c r="K286">
        <v>4.5</v>
      </c>
      <c r="L286">
        <v>4</v>
      </c>
      <c r="M286" t="s">
        <v>55</v>
      </c>
    </row>
    <row r="287" spans="1:13" x14ac:dyDescent="0.2">
      <c r="A287" t="s">
        <v>575</v>
      </c>
      <c r="B287" t="s">
        <v>576</v>
      </c>
      <c r="C287" t="s">
        <v>50</v>
      </c>
      <c r="D287" t="s">
        <v>79</v>
      </c>
      <c r="E287" t="s">
        <v>26</v>
      </c>
      <c r="F287" t="s">
        <v>18</v>
      </c>
      <c r="G287" t="s">
        <v>28</v>
      </c>
      <c r="H287" t="s">
        <v>29</v>
      </c>
      <c r="I287">
        <v>18235</v>
      </c>
      <c r="J287">
        <v>5</v>
      </c>
      <c r="K287">
        <v>4.5</v>
      </c>
      <c r="L287">
        <v>2</v>
      </c>
      <c r="M287" t="s">
        <v>37</v>
      </c>
    </row>
    <row r="288" spans="1:13" x14ac:dyDescent="0.2">
      <c r="A288" t="s">
        <v>577</v>
      </c>
      <c r="B288" t="s">
        <v>261</v>
      </c>
      <c r="C288" t="s">
        <v>33</v>
      </c>
      <c r="D288" t="s">
        <v>59</v>
      </c>
      <c r="E288" t="s">
        <v>26</v>
      </c>
      <c r="F288" t="s">
        <v>83</v>
      </c>
      <c r="G288" t="s">
        <v>104</v>
      </c>
      <c r="H288" t="s">
        <v>36</v>
      </c>
      <c r="I288">
        <v>25320</v>
      </c>
      <c r="J288">
        <v>3</v>
      </c>
      <c r="K288">
        <v>4.5</v>
      </c>
      <c r="L288">
        <v>3</v>
      </c>
      <c r="M288" t="s">
        <v>80</v>
      </c>
    </row>
    <row r="289" spans="1:13" x14ac:dyDescent="0.2">
      <c r="A289" t="s">
        <v>578</v>
      </c>
      <c r="B289" t="s">
        <v>579</v>
      </c>
      <c r="C289" t="s">
        <v>133</v>
      </c>
      <c r="D289" t="s">
        <v>59</v>
      </c>
      <c r="E289" t="s">
        <v>26</v>
      </c>
      <c r="F289" t="s">
        <v>100</v>
      </c>
      <c r="G289" t="s">
        <v>28</v>
      </c>
      <c r="H289" t="s">
        <v>36</v>
      </c>
      <c r="I289">
        <v>22872</v>
      </c>
      <c r="J289">
        <v>6</v>
      </c>
      <c r="K289">
        <v>4.0999999999999996</v>
      </c>
      <c r="L289">
        <v>3</v>
      </c>
      <c r="M289" t="s">
        <v>65</v>
      </c>
    </row>
    <row r="290" spans="1:13" x14ac:dyDescent="0.2">
      <c r="A290" t="s">
        <v>580</v>
      </c>
      <c r="B290" t="s">
        <v>581</v>
      </c>
      <c r="C290" t="s">
        <v>68</v>
      </c>
      <c r="D290" t="s">
        <v>34</v>
      </c>
      <c r="E290" t="s">
        <v>35</v>
      </c>
      <c r="F290" t="s">
        <v>27</v>
      </c>
      <c r="G290" t="s">
        <v>104</v>
      </c>
      <c r="H290" t="s">
        <v>64</v>
      </c>
      <c r="I290">
        <v>245874</v>
      </c>
      <c r="J290">
        <v>6</v>
      </c>
      <c r="K290">
        <v>4.2</v>
      </c>
      <c r="L290">
        <v>1</v>
      </c>
      <c r="M290" t="s">
        <v>37</v>
      </c>
    </row>
    <row r="291" spans="1:13" x14ac:dyDescent="0.2">
      <c r="A291" t="s">
        <v>582</v>
      </c>
      <c r="B291" t="s">
        <v>583</v>
      </c>
      <c r="C291" t="s">
        <v>112</v>
      </c>
      <c r="D291" t="s">
        <v>63</v>
      </c>
      <c r="E291" t="s">
        <v>52</v>
      </c>
      <c r="F291" t="s">
        <v>53</v>
      </c>
      <c r="G291" t="s">
        <v>28</v>
      </c>
      <c r="H291" t="s">
        <v>64</v>
      </c>
      <c r="I291">
        <v>4284</v>
      </c>
      <c r="J291">
        <v>6</v>
      </c>
      <c r="K291">
        <v>4.5</v>
      </c>
      <c r="L291">
        <v>1</v>
      </c>
      <c r="M291" t="s">
        <v>144</v>
      </c>
    </row>
    <row r="292" spans="1:13" x14ac:dyDescent="0.2">
      <c r="A292" t="s">
        <v>584</v>
      </c>
      <c r="B292" t="s">
        <v>585</v>
      </c>
      <c r="C292" t="s">
        <v>75</v>
      </c>
      <c r="D292" t="s">
        <v>218</v>
      </c>
      <c r="E292" t="s">
        <v>17</v>
      </c>
      <c r="F292" t="s">
        <v>83</v>
      </c>
      <c r="G292" t="s">
        <v>19</v>
      </c>
      <c r="H292" t="s">
        <v>64</v>
      </c>
      <c r="I292">
        <v>3824</v>
      </c>
      <c r="J292">
        <v>4</v>
      </c>
      <c r="K292">
        <v>4.9000000000000004</v>
      </c>
      <c r="L292">
        <v>1</v>
      </c>
      <c r="M292" t="s">
        <v>192</v>
      </c>
    </row>
    <row r="293" spans="1:13" x14ac:dyDescent="0.2">
      <c r="A293" t="s">
        <v>586</v>
      </c>
      <c r="B293" t="s">
        <v>587</v>
      </c>
      <c r="C293" t="s">
        <v>75</v>
      </c>
      <c r="D293" t="s">
        <v>86</v>
      </c>
      <c r="E293" t="s">
        <v>17</v>
      </c>
      <c r="F293" t="s">
        <v>18</v>
      </c>
      <c r="G293" t="s">
        <v>54</v>
      </c>
      <c r="H293" t="s">
        <v>20</v>
      </c>
      <c r="I293">
        <v>11368</v>
      </c>
      <c r="J293">
        <v>7</v>
      </c>
      <c r="K293">
        <v>4.5</v>
      </c>
      <c r="L293">
        <v>1</v>
      </c>
      <c r="M293" t="s">
        <v>30</v>
      </c>
    </row>
    <row r="294" spans="1:13" x14ac:dyDescent="0.2">
      <c r="A294" t="s">
        <v>588</v>
      </c>
      <c r="B294" t="s">
        <v>589</v>
      </c>
      <c r="C294" t="s">
        <v>15</v>
      </c>
      <c r="D294" t="s">
        <v>165</v>
      </c>
      <c r="E294" t="s">
        <v>35</v>
      </c>
      <c r="F294" t="s">
        <v>60</v>
      </c>
      <c r="G294" t="s">
        <v>54</v>
      </c>
      <c r="H294" t="s">
        <v>36</v>
      </c>
      <c r="I294">
        <v>213440</v>
      </c>
      <c r="J294">
        <v>4</v>
      </c>
      <c r="K294">
        <v>3.9</v>
      </c>
      <c r="L294">
        <v>6</v>
      </c>
      <c r="M294" t="s">
        <v>87</v>
      </c>
    </row>
    <row r="295" spans="1:13" x14ac:dyDescent="0.2">
      <c r="A295" t="s">
        <v>590</v>
      </c>
      <c r="B295" t="s">
        <v>99</v>
      </c>
      <c r="C295" t="s">
        <v>45</v>
      </c>
      <c r="D295" t="s">
        <v>25</v>
      </c>
      <c r="E295" t="s">
        <v>26</v>
      </c>
      <c r="F295" t="s">
        <v>18</v>
      </c>
      <c r="G295" t="s">
        <v>104</v>
      </c>
      <c r="H295" t="s">
        <v>64</v>
      </c>
      <c r="I295">
        <v>2538</v>
      </c>
      <c r="J295">
        <v>1</v>
      </c>
      <c r="K295">
        <v>3.7</v>
      </c>
      <c r="L295">
        <v>5</v>
      </c>
      <c r="M295" t="s">
        <v>30</v>
      </c>
    </row>
    <row r="296" spans="1:13" x14ac:dyDescent="0.2">
      <c r="A296" t="s">
        <v>591</v>
      </c>
      <c r="B296" t="s">
        <v>167</v>
      </c>
      <c r="C296" t="s">
        <v>72</v>
      </c>
      <c r="D296" t="s">
        <v>90</v>
      </c>
      <c r="E296" t="s">
        <v>42</v>
      </c>
      <c r="F296" t="s">
        <v>53</v>
      </c>
      <c r="G296" t="s">
        <v>104</v>
      </c>
      <c r="H296" t="s">
        <v>36</v>
      </c>
      <c r="I296">
        <v>2501</v>
      </c>
      <c r="J296">
        <v>1</v>
      </c>
      <c r="K296">
        <v>4.5</v>
      </c>
      <c r="L296">
        <v>5</v>
      </c>
      <c r="M296" t="s">
        <v>119</v>
      </c>
    </row>
    <row r="297" spans="1:13" x14ac:dyDescent="0.2">
      <c r="A297" t="s">
        <v>592</v>
      </c>
      <c r="B297" t="s">
        <v>593</v>
      </c>
      <c r="C297" t="s">
        <v>179</v>
      </c>
      <c r="D297" t="s">
        <v>79</v>
      </c>
      <c r="E297" t="s">
        <v>26</v>
      </c>
      <c r="F297" t="s">
        <v>60</v>
      </c>
      <c r="G297" t="s">
        <v>19</v>
      </c>
      <c r="H297" t="s">
        <v>20</v>
      </c>
      <c r="I297">
        <v>2194</v>
      </c>
      <c r="J297">
        <v>1</v>
      </c>
      <c r="K297">
        <v>3.7</v>
      </c>
      <c r="L297">
        <v>6</v>
      </c>
      <c r="M297" t="s">
        <v>80</v>
      </c>
    </row>
    <row r="298" spans="1:13" x14ac:dyDescent="0.2">
      <c r="A298" t="s">
        <v>594</v>
      </c>
      <c r="B298" t="s">
        <v>595</v>
      </c>
      <c r="C298" t="s">
        <v>78</v>
      </c>
      <c r="D298" t="s">
        <v>63</v>
      </c>
      <c r="E298" t="s">
        <v>52</v>
      </c>
      <c r="F298" t="s">
        <v>18</v>
      </c>
      <c r="G298" t="s">
        <v>104</v>
      </c>
      <c r="H298" t="s">
        <v>36</v>
      </c>
      <c r="I298">
        <v>3595</v>
      </c>
      <c r="J298">
        <v>5</v>
      </c>
      <c r="K298">
        <v>4.7</v>
      </c>
      <c r="L298">
        <v>8</v>
      </c>
      <c r="M298" t="s">
        <v>192</v>
      </c>
    </row>
    <row r="299" spans="1:13" x14ac:dyDescent="0.2">
      <c r="A299" t="s">
        <v>596</v>
      </c>
      <c r="B299" t="s">
        <v>597</v>
      </c>
      <c r="C299" t="s">
        <v>179</v>
      </c>
      <c r="D299" t="s">
        <v>113</v>
      </c>
      <c r="E299" t="s">
        <v>35</v>
      </c>
      <c r="F299" t="s">
        <v>53</v>
      </c>
      <c r="G299" t="s">
        <v>28</v>
      </c>
      <c r="H299" t="s">
        <v>64</v>
      </c>
      <c r="I299">
        <v>154440</v>
      </c>
      <c r="J299">
        <v>8</v>
      </c>
      <c r="K299">
        <v>3.7</v>
      </c>
      <c r="L299">
        <v>2</v>
      </c>
      <c r="M299" t="s">
        <v>37</v>
      </c>
    </row>
    <row r="300" spans="1:13" x14ac:dyDescent="0.2">
      <c r="A300" t="s">
        <v>598</v>
      </c>
      <c r="B300" t="s">
        <v>599</v>
      </c>
      <c r="C300" t="s">
        <v>24</v>
      </c>
      <c r="D300" t="s">
        <v>165</v>
      </c>
      <c r="E300" t="s">
        <v>35</v>
      </c>
      <c r="F300" t="s">
        <v>18</v>
      </c>
      <c r="G300" t="s">
        <v>104</v>
      </c>
      <c r="H300" t="s">
        <v>20</v>
      </c>
      <c r="I300">
        <v>383140</v>
      </c>
      <c r="J300">
        <v>5</v>
      </c>
      <c r="K300">
        <v>4.7</v>
      </c>
      <c r="L300">
        <v>7</v>
      </c>
      <c r="M300" t="s">
        <v>119</v>
      </c>
    </row>
    <row r="301" spans="1:13" x14ac:dyDescent="0.2">
      <c r="A301" t="s">
        <v>600</v>
      </c>
      <c r="B301" t="s">
        <v>115</v>
      </c>
      <c r="C301" t="s">
        <v>125</v>
      </c>
      <c r="D301" t="s">
        <v>51</v>
      </c>
      <c r="E301" t="s">
        <v>52</v>
      </c>
      <c r="F301" t="s">
        <v>100</v>
      </c>
      <c r="G301" t="s">
        <v>54</v>
      </c>
      <c r="H301" t="s">
        <v>20</v>
      </c>
      <c r="I301">
        <v>9648</v>
      </c>
      <c r="J301">
        <v>6</v>
      </c>
      <c r="K301">
        <v>3.8</v>
      </c>
      <c r="L301">
        <v>5</v>
      </c>
      <c r="M301" t="s">
        <v>21</v>
      </c>
    </row>
    <row r="302" spans="1:13" x14ac:dyDescent="0.2">
      <c r="A302" t="s">
        <v>601</v>
      </c>
      <c r="B302" t="s">
        <v>237</v>
      </c>
      <c r="C302" t="s">
        <v>112</v>
      </c>
      <c r="D302" t="s">
        <v>25</v>
      </c>
      <c r="E302" t="s">
        <v>26</v>
      </c>
      <c r="F302" t="s">
        <v>27</v>
      </c>
      <c r="G302" t="s">
        <v>54</v>
      </c>
      <c r="H302" t="s">
        <v>64</v>
      </c>
      <c r="I302">
        <v>6156</v>
      </c>
      <c r="J302">
        <v>3</v>
      </c>
      <c r="K302">
        <v>4.5</v>
      </c>
      <c r="L302">
        <v>1</v>
      </c>
      <c r="M302" t="s">
        <v>21</v>
      </c>
    </row>
    <row r="303" spans="1:13" x14ac:dyDescent="0.2">
      <c r="A303" t="s">
        <v>602</v>
      </c>
      <c r="B303" t="s">
        <v>603</v>
      </c>
      <c r="C303" t="s">
        <v>72</v>
      </c>
      <c r="D303" t="s">
        <v>79</v>
      </c>
      <c r="E303" t="s">
        <v>26</v>
      </c>
      <c r="F303" t="s">
        <v>60</v>
      </c>
      <c r="G303" t="s">
        <v>54</v>
      </c>
      <c r="H303" t="s">
        <v>64</v>
      </c>
      <c r="I303">
        <v>33965</v>
      </c>
      <c r="J303">
        <v>5</v>
      </c>
      <c r="K303">
        <v>3.9</v>
      </c>
      <c r="L303">
        <v>5</v>
      </c>
      <c r="M303" t="s">
        <v>144</v>
      </c>
    </row>
    <row r="304" spans="1:13" x14ac:dyDescent="0.2">
      <c r="A304" t="s">
        <v>604</v>
      </c>
      <c r="B304" t="s">
        <v>605</v>
      </c>
      <c r="C304" t="s">
        <v>125</v>
      </c>
      <c r="D304" t="s">
        <v>165</v>
      </c>
      <c r="E304" t="s">
        <v>35</v>
      </c>
      <c r="F304" t="s">
        <v>53</v>
      </c>
      <c r="G304" t="s">
        <v>54</v>
      </c>
      <c r="H304" t="s">
        <v>20</v>
      </c>
      <c r="I304">
        <v>279552</v>
      </c>
      <c r="J304">
        <v>4</v>
      </c>
      <c r="K304">
        <v>3.5</v>
      </c>
      <c r="L304">
        <v>3</v>
      </c>
      <c r="M304" t="s">
        <v>144</v>
      </c>
    </row>
    <row r="305" spans="1:13" x14ac:dyDescent="0.2">
      <c r="A305" t="s">
        <v>606</v>
      </c>
      <c r="B305" t="s">
        <v>242</v>
      </c>
      <c r="C305" t="s">
        <v>50</v>
      </c>
      <c r="D305" t="s">
        <v>159</v>
      </c>
      <c r="E305" t="s">
        <v>42</v>
      </c>
      <c r="F305" t="s">
        <v>60</v>
      </c>
      <c r="G305" t="s">
        <v>28</v>
      </c>
      <c r="H305" t="s">
        <v>36</v>
      </c>
      <c r="I305">
        <v>11965</v>
      </c>
      <c r="J305">
        <v>5</v>
      </c>
      <c r="K305">
        <v>4.8</v>
      </c>
      <c r="L305">
        <v>6</v>
      </c>
      <c r="M305" t="s">
        <v>87</v>
      </c>
    </row>
    <row r="306" spans="1:13" x14ac:dyDescent="0.2">
      <c r="A306" t="s">
        <v>607</v>
      </c>
      <c r="B306" t="s">
        <v>183</v>
      </c>
      <c r="C306" t="s">
        <v>58</v>
      </c>
      <c r="D306" t="s">
        <v>218</v>
      </c>
      <c r="E306" t="s">
        <v>17</v>
      </c>
      <c r="F306" t="s">
        <v>27</v>
      </c>
      <c r="G306" t="s">
        <v>54</v>
      </c>
      <c r="H306" t="s">
        <v>29</v>
      </c>
      <c r="I306">
        <v>4195</v>
      </c>
      <c r="J306">
        <v>5</v>
      </c>
      <c r="K306">
        <v>4.4000000000000004</v>
      </c>
      <c r="L306">
        <v>6</v>
      </c>
      <c r="M306" t="s">
        <v>87</v>
      </c>
    </row>
    <row r="307" spans="1:13" x14ac:dyDescent="0.2">
      <c r="A307" t="s">
        <v>608</v>
      </c>
      <c r="B307" t="s">
        <v>174</v>
      </c>
      <c r="C307" t="s">
        <v>146</v>
      </c>
      <c r="D307" t="s">
        <v>159</v>
      </c>
      <c r="E307" t="s">
        <v>42</v>
      </c>
      <c r="F307" t="s">
        <v>83</v>
      </c>
      <c r="G307" t="s">
        <v>19</v>
      </c>
      <c r="H307" t="s">
        <v>36</v>
      </c>
      <c r="I307">
        <v>32543</v>
      </c>
      <c r="J307">
        <v>7</v>
      </c>
      <c r="K307">
        <v>3.2</v>
      </c>
      <c r="L307">
        <v>3</v>
      </c>
      <c r="M307" t="s">
        <v>65</v>
      </c>
    </row>
    <row r="308" spans="1:13" x14ac:dyDescent="0.2">
      <c r="A308" t="s">
        <v>609</v>
      </c>
      <c r="B308" t="s">
        <v>57</v>
      </c>
      <c r="C308" t="s">
        <v>170</v>
      </c>
      <c r="D308" t="s">
        <v>59</v>
      </c>
      <c r="E308" t="s">
        <v>26</v>
      </c>
      <c r="F308" t="s">
        <v>27</v>
      </c>
      <c r="G308" t="s">
        <v>54</v>
      </c>
      <c r="H308" t="s">
        <v>64</v>
      </c>
      <c r="I308">
        <v>8214</v>
      </c>
      <c r="J308">
        <v>3</v>
      </c>
      <c r="K308">
        <v>4.4000000000000004</v>
      </c>
      <c r="L308">
        <v>7</v>
      </c>
      <c r="M308" t="s">
        <v>37</v>
      </c>
    </row>
    <row r="309" spans="1:13" x14ac:dyDescent="0.2">
      <c r="A309" t="s">
        <v>610</v>
      </c>
      <c r="B309" t="s">
        <v>611</v>
      </c>
      <c r="C309" t="s">
        <v>72</v>
      </c>
      <c r="D309" t="s">
        <v>90</v>
      </c>
      <c r="E309" t="s">
        <v>42</v>
      </c>
      <c r="F309" t="s">
        <v>27</v>
      </c>
      <c r="G309" t="s">
        <v>54</v>
      </c>
      <c r="H309" t="s">
        <v>20</v>
      </c>
      <c r="I309">
        <v>8088</v>
      </c>
      <c r="J309">
        <v>3</v>
      </c>
      <c r="K309">
        <v>3.4</v>
      </c>
      <c r="L309">
        <v>3</v>
      </c>
      <c r="M309" t="s">
        <v>37</v>
      </c>
    </row>
    <row r="310" spans="1:13" x14ac:dyDescent="0.2">
      <c r="A310" t="s">
        <v>612</v>
      </c>
      <c r="B310" t="s">
        <v>533</v>
      </c>
      <c r="C310" t="s">
        <v>75</v>
      </c>
      <c r="D310" t="s">
        <v>86</v>
      </c>
      <c r="E310" t="s">
        <v>17</v>
      </c>
      <c r="F310" t="s">
        <v>83</v>
      </c>
      <c r="G310" t="s">
        <v>28</v>
      </c>
      <c r="H310" t="s">
        <v>64</v>
      </c>
      <c r="I310">
        <v>4074</v>
      </c>
      <c r="J310">
        <v>3</v>
      </c>
      <c r="K310">
        <v>3.2</v>
      </c>
      <c r="L310">
        <v>5</v>
      </c>
      <c r="M310" t="s">
        <v>21</v>
      </c>
    </row>
    <row r="311" spans="1:13" x14ac:dyDescent="0.2">
      <c r="A311" t="s">
        <v>613</v>
      </c>
      <c r="B311" t="s">
        <v>226</v>
      </c>
      <c r="C311" t="s">
        <v>24</v>
      </c>
      <c r="D311" t="s">
        <v>159</v>
      </c>
      <c r="E311" t="s">
        <v>42</v>
      </c>
      <c r="F311" t="s">
        <v>27</v>
      </c>
      <c r="G311" t="s">
        <v>104</v>
      </c>
      <c r="H311" t="s">
        <v>64</v>
      </c>
      <c r="I311">
        <v>15323</v>
      </c>
      <c r="J311">
        <v>7</v>
      </c>
      <c r="K311">
        <v>4.4000000000000004</v>
      </c>
      <c r="L311">
        <v>5</v>
      </c>
      <c r="M311" t="s">
        <v>37</v>
      </c>
    </row>
    <row r="312" spans="1:13" x14ac:dyDescent="0.2">
      <c r="A312" t="s">
        <v>614</v>
      </c>
      <c r="B312" t="s">
        <v>615</v>
      </c>
      <c r="C312" t="s">
        <v>72</v>
      </c>
      <c r="D312" t="s">
        <v>25</v>
      </c>
      <c r="E312" t="s">
        <v>26</v>
      </c>
      <c r="F312" t="s">
        <v>100</v>
      </c>
      <c r="G312" t="s">
        <v>54</v>
      </c>
      <c r="H312" t="s">
        <v>20</v>
      </c>
      <c r="I312">
        <v>28805</v>
      </c>
      <c r="J312">
        <v>7</v>
      </c>
      <c r="K312">
        <v>4.0999999999999996</v>
      </c>
      <c r="L312">
        <v>7</v>
      </c>
      <c r="M312" t="s">
        <v>37</v>
      </c>
    </row>
    <row r="313" spans="1:13" x14ac:dyDescent="0.2">
      <c r="A313" t="s">
        <v>616</v>
      </c>
      <c r="B313" t="s">
        <v>387</v>
      </c>
      <c r="C313" t="s">
        <v>112</v>
      </c>
      <c r="D313" t="s">
        <v>41</v>
      </c>
      <c r="E313" t="s">
        <v>42</v>
      </c>
      <c r="F313" t="s">
        <v>60</v>
      </c>
      <c r="G313" t="s">
        <v>104</v>
      </c>
      <c r="H313" t="s">
        <v>36</v>
      </c>
      <c r="I313">
        <v>11286</v>
      </c>
      <c r="J313">
        <v>2</v>
      </c>
      <c r="K313">
        <v>4.7</v>
      </c>
      <c r="L313">
        <v>7</v>
      </c>
      <c r="M313" t="s">
        <v>65</v>
      </c>
    </row>
    <row r="314" spans="1:13" x14ac:dyDescent="0.2">
      <c r="A314" t="s">
        <v>617</v>
      </c>
      <c r="B314" t="s">
        <v>615</v>
      </c>
      <c r="C314" t="s">
        <v>125</v>
      </c>
      <c r="D314" t="s">
        <v>69</v>
      </c>
      <c r="E314" t="s">
        <v>26</v>
      </c>
      <c r="F314" t="s">
        <v>83</v>
      </c>
      <c r="G314" t="s">
        <v>54</v>
      </c>
      <c r="H314" t="s">
        <v>29</v>
      </c>
      <c r="I314">
        <v>19200</v>
      </c>
      <c r="J314">
        <v>8</v>
      </c>
      <c r="K314">
        <v>4</v>
      </c>
      <c r="L314">
        <v>5</v>
      </c>
      <c r="M314" t="s">
        <v>37</v>
      </c>
    </row>
    <row r="315" spans="1:13" x14ac:dyDescent="0.2">
      <c r="A315" t="s">
        <v>618</v>
      </c>
      <c r="B315" t="s">
        <v>619</v>
      </c>
      <c r="C315" t="s">
        <v>179</v>
      </c>
      <c r="D315" t="s">
        <v>69</v>
      </c>
      <c r="E315" t="s">
        <v>26</v>
      </c>
      <c r="F315" t="s">
        <v>27</v>
      </c>
      <c r="G315" t="s">
        <v>104</v>
      </c>
      <c r="H315" t="s">
        <v>64</v>
      </c>
      <c r="I315">
        <v>10920</v>
      </c>
      <c r="J315">
        <v>4</v>
      </c>
      <c r="K315">
        <v>4.0999999999999996</v>
      </c>
      <c r="L315">
        <v>7</v>
      </c>
      <c r="M315" t="s">
        <v>21</v>
      </c>
    </row>
    <row r="316" spans="1:13" x14ac:dyDescent="0.2">
      <c r="A316" t="s">
        <v>620</v>
      </c>
      <c r="B316" t="s">
        <v>458</v>
      </c>
      <c r="C316" t="s">
        <v>50</v>
      </c>
      <c r="D316" t="s">
        <v>113</v>
      </c>
      <c r="E316" t="s">
        <v>35</v>
      </c>
      <c r="F316" t="s">
        <v>83</v>
      </c>
      <c r="G316" t="s">
        <v>28</v>
      </c>
      <c r="H316" t="s">
        <v>64</v>
      </c>
      <c r="I316">
        <v>257243</v>
      </c>
      <c r="J316">
        <v>7</v>
      </c>
      <c r="K316">
        <v>4.2</v>
      </c>
      <c r="L316">
        <v>5</v>
      </c>
      <c r="M316" t="s">
        <v>80</v>
      </c>
    </row>
    <row r="317" spans="1:13" x14ac:dyDescent="0.2">
      <c r="A317" t="s">
        <v>621</v>
      </c>
      <c r="B317" t="s">
        <v>622</v>
      </c>
      <c r="C317" t="s">
        <v>122</v>
      </c>
      <c r="D317" t="s">
        <v>109</v>
      </c>
      <c r="E317" t="s">
        <v>52</v>
      </c>
      <c r="F317" t="s">
        <v>60</v>
      </c>
      <c r="G317" t="s">
        <v>19</v>
      </c>
      <c r="H317" t="s">
        <v>36</v>
      </c>
      <c r="I317">
        <v>12048</v>
      </c>
      <c r="J317">
        <v>8</v>
      </c>
      <c r="K317">
        <v>4.5</v>
      </c>
      <c r="L317">
        <v>2</v>
      </c>
      <c r="M317" t="s">
        <v>30</v>
      </c>
    </row>
    <row r="318" spans="1:13" x14ac:dyDescent="0.2">
      <c r="A318" t="s">
        <v>623</v>
      </c>
      <c r="B318" t="s">
        <v>624</v>
      </c>
      <c r="C318" t="s">
        <v>75</v>
      </c>
      <c r="D318" t="s">
        <v>51</v>
      </c>
      <c r="E318" t="s">
        <v>52</v>
      </c>
      <c r="F318" t="s">
        <v>18</v>
      </c>
      <c r="G318" t="s">
        <v>104</v>
      </c>
      <c r="H318" t="s">
        <v>20</v>
      </c>
      <c r="I318">
        <v>1843</v>
      </c>
      <c r="J318">
        <v>1</v>
      </c>
      <c r="K318">
        <v>4</v>
      </c>
      <c r="L318">
        <v>7</v>
      </c>
      <c r="M318" t="s">
        <v>126</v>
      </c>
    </row>
    <row r="319" spans="1:13" x14ac:dyDescent="0.2">
      <c r="A319" t="s">
        <v>625</v>
      </c>
      <c r="B319" t="s">
        <v>626</v>
      </c>
      <c r="C319" t="s">
        <v>24</v>
      </c>
      <c r="D319" t="s">
        <v>113</v>
      </c>
      <c r="E319" t="s">
        <v>35</v>
      </c>
      <c r="F319" t="s">
        <v>27</v>
      </c>
      <c r="G319" t="s">
        <v>28</v>
      </c>
      <c r="H319" t="s">
        <v>64</v>
      </c>
      <c r="I319">
        <v>55013</v>
      </c>
      <c r="J319">
        <v>1</v>
      </c>
      <c r="K319">
        <v>4.0999999999999996</v>
      </c>
      <c r="L319">
        <v>1</v>
      </c>
      <c r="M319" t="s">
        <v>192</v>
      </c>
    </row>
    <row r="320" spans="1:13" x14ac:dyDescent="0.2">
      <c r="A320" t="s">
        <v>627</v>
      </c>
      <c r="B320" t="s">
        <v>275</v>
      </c>
      <c r="C320" t="s">
        <v>33</v>
      </c>
      <c r="D320" t="s">
        <v>86</v>
      </c>
      <c r="E320" t="s">
        <v>17</v>
      </c>
      <c r="F320" t="s">
        <v>53</v>
      </c>
      <c r="G320" t="s">
        <v>19</v>
      </c>
      <c r="H320" t="s">
        <v>36</v>
      </c>
      <c r="I320">
        <v>3490</v>
      </c>
      <c r="J320">
        <v>5</v>
      </c>
      <c r="K320">
        <v>4.5</v>
      </c>
      <c r="L320">
        <v>3</v>
      </c>
      <c r="M320" t="s">
        <v>119</v>
      </c>
    </row>
    <row r="321" spans="1:13" x14ac:dyDescent="0.2">
      <c r="A321" t="s">
        <v>628</v>
      </c>
      <c r="B321" t="s">
        <v>115</v>
      </c>
      <c r="C321" t="s">
        <v>75</v>
      </c>
      <c r="D321" t="s">
        <v>147</v>
      </c>
      <c r="E321" t="s">
        <v>52</v>
      </c>
      <c r="F321" t="s">
        <v>100</v>
      </c>
      <c r="G321" t="s">
        <v>104</v>
      </c>
      <c r="H321" t="s">
        <v>29</v>
      </c>
      <c r="I321">
        <v>13076</v>
      </c>
      <c r="J321">
        <v>7</v>
      </c>
      <c r="K321">
        <v>4.0999999999999996</v>
      </c>
      <c r="L321">
        <v>2</v>
      </c>
      <c r="M321" t="s">
        <v>21</v>
      </c>
    </row>
    <row r="322" spans="1:13" x14ac:dyDescent="0.2">
      <c r="A322" t="s">
        <v>629</v>
      </c>
      <c r="B322" t="s">
        <v>630</v>
      </c>
      <c r="C322" t="s">
        <v>78</v>
      </c>
      <c r="D322" t="s">
        <v>130</v>
      </c>
      <c r="E322" t="s">
        <v>35</v>
      </c>
      <c r="F322" t="s">
        <v>18</v>
      </c>
      <c r="G322" t="s">
        <v>104</v>
      </c>
      <c r="H322" t="s">
        <v>29</v>
      </c>
      <c r="I322">
        <v>311416</v>
      </c>
      <c r="J322">
        <v>4</v>
      </c>
      <c r="K322">
        <v>3.5</v>
      </c>
      <c r="L322">
        <v>2</v>
      </c>
      <c r="M322" t="s">
        <v>37</v>
      </c>
    </row>
    <row r="323" spans="1:13" x14ac:dyDescent="0.2">
      <c r="A323" t="s">
        <v>631</v>
      </c>
      <c r="B323" t="s">
        <v>587</v>
      </c>
      <c r="C323" t="s">
        <v>146</v>
      </c>
      <c r="D323" t="s">
        <v>218</v>
      </c>
      <c r="E323" t="s">
        <v>17</v>
      </c>
      <c r="F323" t="s">
        <v>27</v>
      </c>
      <c r="G323" t="s">
        <v>28</v>
      </c>
      <c r="H323" t="s">
        <v>36</v>
      </c>
      <c r="I323">
        <v>8605</v>
      </c>
      <c r="J323">
        <v>5</v>
      </c>
      <c r="K323">
        <v>4.5999999999999996</v>
      </c>
      <c r="L323">
        <v>6</v>
      </c>
      <c r="M323" t="s">
        <v>30</v>
      </c>
    </row>
    <row r="324" spans="1:13" x14ac:dyDescent="0.2">
      <c r="A324" t="s">
        <v>632</v>
      </c>
      <c r="B324" t="s">
        <v>533</v>
      </c>
      <c r="C324" t="s">
        <v>103</v>
      </c>
      <c r="D324" t="s">
        <v>41</v>
      </c>
      <c r="E324" t="s">
        <v>42</v>
      </c>
      <c r="F324" t="s">
        <v>83</v>
      </c>
      <c r="G324" t="s">
        <v>104</v>
      </c>
      <c r="H324" t="s">
        <v>36</v>
      </c>
      <c r="I324">
        <v>6572</v>
      </c>
      <c r="J324">
        <v>2</v>
      </c>
      <c r="K324">
        <v>4.9000000000000004</v>
      </c>
      <c r="L324">
        <v>1</v>
      </c>
      <c r="M324" t="s">
        <v>21</v>
      </c>
    </row>
    <row r="325" spans="1:13" x14ac:dyDescent="0.2">
      <c r="A325" t="s">
        <v>633</v>
      </c>
      <c r="B325" t="s">
        <v>559</v>
      </c>
      <c r="C325" t="s">
        <v>125</v>
      </c>
      <c r="D325" t="s">
        <v>46</v>
      </c>
      <c r="E325" t="s">
        <v>42</v>
      </c>
      <c r="F325" t="s">
        <v>27</v>
      </c>
      <c r="G325" t="s">
        <v>19</v>
      </c>
      <c r="H325" t="s">
        <v>20</v>
      </c>
      <c r="I325">
        <v>7470</v>
      </c>
      <c r="J325">
        <v>3</v>
      </c>
      <c r="K325">
        <v>3.7</v>
      </c>
      <c r="L325">
        <v>4</v>
      </c>
      <c r="M325" t="s">
        <v>87</v>
      </c>
    </row>
    <row r="326" spans="1:13" x14ac:dyDescent="0.2">
      <c r="A326" t="s">
        <v>634</v>
      </c>
      <c r="B326" t="s">
        <v>635</v>
      </c>
      <c r="C326" t="s">
        <v>75</v>
      </c>
      <c r="D326" t="s">
        <v>109</v>
      </c>
      <c r="E326" t="s">
        <v>52</v>
      </c>
      <c r="F326" t="s">
        <v>27</v>
      </c>
      <c r="G326" t="s">
        <v>28</v>
      </c>
      <c r="H326" t="s">
        <v>36</v>
      </c>
      <c r="I326">
        <v>5088</v>
      </c>
      <c r="J326">
        <v>4</v>
      </c>
      <c r="K326">
        <v>4.5999999999999996</v>
      </c>
      <c r="L326">
        <v>2</v>
      </c>
      <c r="M326" t="s">
        <v>37</v>
      </c>
    </row>
    <row r="327" spans="1:13" x14ac:dyDescent="0.2">
      <c r="A327" t="s">
        <v>636</v>
      </c>
      <c r="B327" t="s">
        <v>637</v>
      </c>
      <c r="C327" t="s">
        <v>50</v>
      </c>
      <c r="D327" t="s">
        <v>25</v>
      </c>
      <c r="E327" t="s">
        <v>26</v>
      </c>
      <c r="F327" t="s">
        <v>83</v>
      </c>
      <c r="G327" t="s">
        <v>19</v>
      </c>
      <c r="H327" t="s">
        <v>36</v>
      </c>
      <c r="I327">
        <v>31806</v>
      </c>
      <c r="J327">
        <v>6</v>
      </c>
      <c r="K327">
        <v>4.0999999999999996</v>
      </c>
      <c r="L327">
        <v>5</v>
      </c>
      <c r="M327" t="s">
        <v>65</v>
      </c>
    </row>
    <row r="328" spans="1:13" x14ac:dyDescent="0.2">
      <c r="A328" t="s">
        <v>638</v>
      </c>
      <c r="B328" t="s">
        <v>446</v>
      </c>
      <c r="C328" t="s">
        <v>170</v>
      </c>
      <c r="D328" t="s">
        <v>69</v>
      </c>
      <c r="E328" t="s">
        <v>26</v>
      </c>
      <c r="F328" t="s">
        <v>27</v>
      </c>
      <c r="G328" t="s">
        <v>54</v>
      </c>
      <c r="H328" t="s">
        <v>36</v>
      </c>
      <c r="I328">
        <v>8290</v>
      </c>
      <c r="J328">
        <v>1</v>
      </c>
      <c r="K328">
        <v>5</v>
      </c>
      <c r="L328">
        <v>8</v>
      </c>
      <c r="M328" t="s">
        <v>65</v>
      </c>
    </row>
    <row r="329" spans="1:13" x14ac:dyDescent="0.2">
      <c r="A329" t="s">
        <v>639</v>
      </c>
      <c r="B329" t="s">
        <v>640</v>
      </c>
      <c r="C329" t="s">
        <v>103</v>
      </c>
      <c r="D329" t="s">
        <v>51</v>
      </c>
      <c r="E329" t="s">
        <v>52</v>
      </c>
      <c r="F329" t="s">
        <v>60</v>
      </c>
      <c r="G329" t="s">
        <v>104</v>
      </c>
      <c r="H329" t="s">
        <v>29</v>
      </c>
      <c r="I329">
        <v>3462</v>
      </c>
      <c r="J329">
        <v>2</v>
      </c>
      <c r="K329">
        <v>4.2</v>
      </c>
      <c r="L329">
        <v>4</v>
      </c>
      <c r="M329" t="s">
        <v>30</v>
      </c>
    </row>
    <row r="330" spans="1:13" x14ac:dyDescent="0.2">
      <c r="A330" t="s">
        <v>641</v>
      </c>
      <c r="B330" t="s">
        <v>434</v>
      </c>
      <c r="C330" t="s">
        <v>58</v>
      </c>
      <c r="D330" t="s">
        <v>51</v>
      </c>
      <c r="E330" t="s">
        <v>52</v>
      </c>
      <c r="F330" t="s">
        <v>27</v>
      </c>
      <c r="G330" t="s">
        <v>19</v>
      </c>
      <c r="H330" t="s">
        <v>36</v>
      </c>
      <c r="I330">
        <v>7096</v>
      </c>
      <c r="J330">
        <v>4</v>
      </c>
      <c r="K330">
        <v>4</v>
      </c>
      <c r="L330">
        <v>3</v>
      </c>
      <c r="M330" t="s">
        <v>47</v>
      </c>
    </row>
    <row r="331" spans="1:13" x14ac:dyDescent="0.2">
      <c r="A331" t="s">
        <v>642</v>
      </c>
      <c r="B331" t="s">
        <v>429</v>
      </c>
      <c r="C331" t="s">
        <v>133</v>
      </c>
      <c r="D331" t="s">
        <v>34</v>
      </c>
      <c r="E331" t="s">
        <v>35</v>
      </c>
      <c r="F331" t="s">
        <v>60</v>
      </c>
      <c r="G331" t="s">
        <v>19</v>
      </c>
      <c r="H331" t="s">
        <v>29</v>
      </c>
      <c r="I331">
        <v>151312</v>
      </c>
      <c r="J331">
        <v>7</v>
      </c>
      <c r="K331">
        <v>4.7</v>
      </c>
      <c r="L331">
        <v>3</v>
      </c>
      <c r="M331" t="s">
        <v>30</v>
      </c>
    </row>
    <row r="332" spans="1:13" x14ac:dyDescent="0.2">
      <c r="A332" t="s">
        <v>643</v>
      </c>
      <c r="B332" t="s">
        <v>195</v>
      </c>
      <c r="C332" t="s">
        <v>68</v>
      </c>
      <c r="D332" t="s">
        <v>46</v>
      </c>
      <c r="E332" t="s">
        <v>42</v>
      </c>
      <c r="F332" t="s">
        <v>60</v>
      </c>
      <c r="G332" t="s">
        <v>104</v>
      </c>
      <c r="H332" t="s">
        <v>29</v>
      </c>
      <c r="I332">
        <v>1191</v>
      </c>
      <c r="J332">
        <v>1</v>
      </c>
      <c r="K332">
        <v>4.7</v>
      </c>
      <c r="L332">
        <v>8</v>
      </c>
      <c r="M332" t="s">
        <v>21</v>
      </c>
    </row>
    <row r="333" spans="1:13" x14ac:dyDescent="0.2">
      <c r="A333" t="s">
        <v>644</v>
      </c>
      <c r="B333" t="s">
        <v>622</v>
      </c>
      <c r="C333" t="s">
        <v>58</v>
      </c>
      <c r="D333" t="s">
        <v>130</v>
      </c>
      <c r="E333" t="s">
        <v>35</v>
      </c>
      <c r="F333" t="s">
        <v>100</v>
      </c>
      <c r="G333" t="s">
        <v>19</v>
      </c>
      <c r="H333" t="s">
        <v>29</v>
      </c>
      <c r="I333">
        <v>282350</v>
      </c>
      <c r="J333">
        <v>5</v>
      </c>
      <c r="K333">
        <v>4.8</v>
      </c>
      <c r="L333">
        <v>4</v>
      </c>
      <c r="M333" t="s">
        <v>30</v>
      </c>
    </row>
    <row r="334" spans="1:13" x14ac:dyDescent="0.2">
      <c r="A334" t="s">
        <v>645</v>
      </c>
      <c r="B334" t="s">
        <v>646</v>
      </c>
      <c r="C334" t="s">
        <v>24</v>
      </c>
      <c r="D334" t="s">
        <v>130</v>
      </c>
      <c r="E334" t="s">
        <v>35</v>
      </c>
      <c r="F334" t="s">
        <v>27</v>
      </c>
      <c r="G334" t="s">
        <v>104</v>
      </c>
      <c r="H334" t="s">
        <v>64</v>
      </c>
      <c r="I334">
        <v>419576</v>
      </c>
      <c r="J334">
        <v>8</v>
      </c>
      <c r="K334">
        <v>4</v>
      </c>
      <c r="L334">
        <v>3</v>
      </c>
      <c r="M334" t="s">
        <v>119</v>
      </c>
    </row>
    <row r="335" spans="1:13" x14ac:dyDescent="0.2">
      <c r="A335" t="s">
        <v>647</v>
      </c>
      <c r="B335" t="s">
        <v>589</v>
      </c>
      <c r="C335" t="s">
        <v>45</v>
      </c>
      <c r="D335" t="s">
        <v>69</v>
      </c>
      <c r="E335" t="s">
        <v>26</v>
      </c>
      <c r="F335" t="s">
        <v>27</v>
      </c>
      <c r="G335" t="s">
        <v>28</v>
      </c>
      <c r="H335" t="s">
        <v>29</v>
      </c>
      <c r="I335">
        <v>11982</v>
      </c>
      <c r="J335">
        <v>2</v>
      </c>
      <c r="K335">
        <v>4.4000000000000004</v>
      </c>
      <c r="L335">
        <v>5</v>
      </c>
      <c r="M335" t="s">
        <v>87</v>
      </c>
    </row>
    <row r="336" spans="1:13" x14ac:dyDescent="0.2">
      <c r="A336" t="s">
        <v>648</v>
      </c>
      <c r="B336" t="s">
        <v>222</v>
      </c>
      <c r="C336" t="s">
        <v>75</v>
      </c>
      <c r="D336" t="s">
        <v>46</v>
      </c>
      <c r="E336" t="s">
        <v>42</v>
      </c>
      <c r="F336" t="s">
        <v>83</v>
      </c>
      <c r="G336" t="s">
        <v>19</v>
      </c>
      <c r="H336" t="s">
        <v>64</v>
      </c>
      <c r="I336">
        <v>7112</v>
      </c>
      <c r="J336">
        <v>8</v>
      </c>
      <c r="K336">
        <v>4.5</v>
      </c>
      <c r="L336">
        <v>5</v>
      </c>
      <c r="M336" t="s">
        <v>30</v>
      </c>
    </row>
    <row r="337" spans="1:13" x14ac:dyDescent="0.2">
      <c r="A337" t="s">
        <v>649</v>
      </c>
      <c r="B337" t="s">
        <v>242</v>
      </c>
      <c r="C337" t="s">
        <v>68</v>
      </c>
      <c r="D337" t="s">
        <v>16</v>
      </c>
      <c r="E337" t="s">
        <v>17</v>
      </c>
      <c r="F337" t="s">
        <v>53</v>
      </c>
      <c r="G337" t="s">
        <v>19</v>
      </c>
      <c r="H337" t="s">
        <v>36</v>
      </c>
      <c r="I337">
        <v>11384</v>
      </c>
      <c r="J337">
        <v>8</v>
      </c>
      <c r="K337">
        <v>4.5999999999999996</v>
      </c>
      <c r="L337">
        <v>2</v>
      </c>
      <c r="M337" t="s">
        <v>87</v>
      </c>
    </row>
    <row r="338" spans="1:13" x14ac:dyDescent="0.2">
      <c r="A338" t="s">
        <v>650</v>
      </c>
      <c r="B338" t="s">
        <v>615</v>
      </c>
      <c r="C338" t="s">
        <v>15</v>
      </c>
      <c r="D338" t="s">
        <v>46</v>
      </c>
      <c r="E338" t="s">
        <v>42</v>
      </c>
      <c r="F338" t="s">
        <v>18</v>
      </c>
      <c r="G338" t="s">
        <v>104</v>
      </c>
      <c r="H338" t="s">
        <v>29</v>
      </c>
      <c r="I338">
        <v>6940</v>
      </c>
      <c r="J338">
        <v>4</v>
      </c>
      <c r="K338">
        <v>4.0999999999999996</v>
      </c>
      <c r="L338">
        <v>3</v>
      </c>
      <c r="M338" t="s">
        <v>37</v>
      </c>
    </row>
    <row r="339" spans="1:13" x14ac:dyDescent="0.2">
      <c r="A339" t="s">
        <v>651</v>
      </c>
      <c r="B339" t="s">
        <v>652</v>
      </c>
      <c r="C339" t="s">
        <v>58</v>
      </c>
      <c r="D339" t="s">
        <v>90</v>
      </c>
      <c r="E339" t="s">
        <v>42</v>
      </c>
      <c r="F339" t="s">
        <v>60</v>
      </c>
      <c r="G339" t="s">
        <v>104</v>
      </c>
      <c r="H339" t="s">
        <v>29</v>
      </c>
      <c r="I339">
        <v>25585</v>
      </c>
      <c r="J339">
        <v>5</v>
      </c>
      <c r="K339">
        <v>4.3</v>
      </c>
      <c r="L339">
        <v>8</v>
      </c>
      <c r="M339" t="s">
        <v>30</v>
      </c>
    </row>
    <row r="340" spans="1:13" x14ac:dyDescent="0.2">
      <c r="A340" t="s">
        <v>653</v>
      </c>
      <c r="B340" t="s">
        <v>561</v>
      </c>
      <c r="C340" t="s">
        <v>112</v>
      </c>
      <c r="D340" t="s">
        <v>159</v>
      </c>
      <c r="E340" t="s">
        <v>42</v>
      </c>
      <c r="F340" t="s">
        <v>83</v>
      </c>
      <c r="G340" t="s">
        <v>104</v>
      </c>
      <c r="H340" t="s">
        <v>29</v>
      </c>
      <c r="I340">
        <v>22624</v>
      </c>
      <c r="J340">
        <v>8</v>
      </c>
      <c r="K340">
        <v>3.7</v>
      </c>
      <c r="L340">
        <v>1</v>
      </c>
      <c r="M340" t="s">
        <v>87</v>
      </c>
    </row>
    <row r="341" spans="1:13" x14ac:dyDescent="0.2">
      <c r="A341" t="s">
        <v>654</v>
      </c>
      <c r="B341" t="s">
        <v>523</v>
      </c>
      <c r="C341" t="s">
        <v>78</v>
      </c>
      <c r="D341" t="s">
        <v>41</v>
      </c>
      <c r="E341" t="s">
        <v>42</v>
      </c>
      <c r="F341" t="s">
        <v>53</v>
      </c>
      <c r="G341" t="s">
        <v>19</v>
      </c>
      <c r="H341" t="s">
        <v>64</v>
      </c>
      <c r="I341">
        <v>33808</v>
      </c>
      <c r="J341">
        <v>8</v>
      </c>
      <c r="K341">
        <v>4.3</v>
      </c>
      <c r="L341">
        <v>1</v>
      </c>
      <c r="M341" t="s">
        <v>119</v>
      </c>
    </row>
    <row r="342" spans="1:13" x14ac:dyDescent="0.2">
      <c r="A342" t="s">
        <v>655</v>
      </c>
      <c r="B342" t="s">
        <v>656</v>
      </c>
      <c r="C342" t="s">
        <v>112</v>
      </c>
      <c r="D342" t="s">
        <v>69</v>
      </c>
      <c r="E342" t="s">
        <v>26</v>
      </c>
      <c r="F342" t="s">
        <v>100</v>
      </c>
      <c r="G342" t="s">
        <v>104</v>
      </c>
      <c r="H342" t="s">
        <v>29</v>
      </c>
      <c r="I342">
        <v>20432</v>
      </c>
      <c r="J342">
        <v>4</v>
      </c>
      <c r="K342">
        <v>3.3</v>
      </c>
      <c r="L342">
        <v>4</v>
      </c>
      <c r="M342" t="s">
        <v>55</v>
      </c>
    </row>
    <row r="343" spans="1:13" x14ac:dyDescent="0.2">
      <c r="A343" t="s">
        <v>657</v>
      </c>
      <c r="B343" t="s">
        <v>201</v>
      </c>
      <c r="C343" t="s">
        <v>103</v>
      </c>
      <c r="D343" t="s">
        <v>59</v>
      </c>
      <c r="E343" t="s">
        <v>26</v>
      </c>
      <c r="F343" t="s">
        <v>27</v>
      </c>
      <c r="G343" t="s">
        <v>28</v>
      </c>
      <c r="H343" t="s">
        <v>20</v>
      </c>
      <c r="I343">
        <v>10432</v>
      </c>
      <c r="J343">
        <v>4</v>
      </c>
      <c r="K343">
        <v>4.3</v>
      </c>
      <c r="L343">
        <v>8</v>
      </c>
      <c r="M343" t="s">
        <v>55</v>
      </c>
    </row>
    <row r="344" spans="1:13" x14ac:dyDescent="0.2">
      <c r="A344" t="s">
        <v>658</v>
      </c>
      <c r="B344" t="s">
        <v>536</v>
      </c>
      <c r="C344" t="s">
        <v>15</v>
      </c>
      <c r="D344" t="s">
        <v>113</v>
      </c>
      <c r="E344" t="s">
        <v>35</v>
      </c>
      <c r="F344" t="s">
        <v>83</v>
      </c>
      <c r="G344" t="s">
        <v>54</v>
      </c>
      <c r="H344" t="s">
        <v>20</v>
      </c>
      <c r="I344">
        <v>26871</v>
      </c>
      <c r="J344">
        <v>1</v>
      </c>
      <c r="K344">
        <v>3.7</v>
      </c>
      <c r="L344">
        <v>8</v>
      </c>
      <c r="M344" t="s">
        <v>80</v>
      </c>
    </row>
    <row r="345" spans="1:13" x14ac:dyDescent="0.2">
      <c r="A345" t="s">
        <v>659</v>
      </c>
      <c r="B345" t="s">
        <v>660</v>
      </c>
      <c r="C345" t="s">
        <v>170</v>
      </c>
      <c r="D345" t="s">
        <v>116</v>
      </c>
      <c r="E345" t="s">
        <v>17</v>
      </c>
      <c r="F345" t="s">
        <v>18</v>
      </c>
      <c r="G345" t="s">
        <v>19</v>
      </c>
      <c r="H345" t="s">
        <v>36</v>
      </c>
      <c r="I345">
        <v>6960</v>
      </c>
      <c r="J345">
        <v>6</v>
      </c>
      <c r="K345">
        <v>4.5</v>
      </c>
      <c r="L345">
        <v>1</v>
      </c>
      <c r="M345" t="s">
        <v>37</v>
      </c>
    </row>
    <row r="346" spans="1:13" x14ac:dyDescent="0.2">
      <c r="A346" t="s">
        <v>661</v>
      </c>
      <c r="B346" t="s">
        <v>589</v>
      </c>
      <c r="C346" t="s">
        <v>50</v>
      </c>
      <c r="D346" t="s">
        <v>97</v>
      </c>
      <c r="E346" t="s">
        <v>35</v>
      </c>
      <c r="F346" t="s">
        <v>60</v>
      </c>
      <c r="G346" t="s">
        <v>19</v>
      </c>
      <c r="H346" t="s">
        <v>36</v>
      </c>
      <c r="I346">
        <v>282224</v>
      </c>
      <c r="J346">
        <v>8</v>
      </c>
      <c r="K346">
        <v>3.4</v>
      </c>
      <c r="L346">
        <v>4</v>
      </c>
      <c r="M346" t="s">
        <v>87</v>
      </c>
    </row>
    <row r="347" spans="1:13" x14ac:dyDescent="0.2">
      <c r="A347" t="s">
        <v>662</v>
      </c>
      <c r="B347" t="s">
        <v>663</v>
      </c>
      <c r="C347" t="s">
        <v>78</v>
      </c>
      <c r="D347" t="s">
        <v>51</v>
      </c>
      <c r="E347" t="s">
        <v>52</v>
      </c>
      <c r="F347" t="s">
        <v>100</v>
      </c>
      <c r="G347" t="s">
        <v>54</v>
      </c>
      <c r="H347" t="s">
        <v>29</v>
      </c>
      <c r="I347">
        <v>7372</v>
      </c>
      <c r="J347">
        <v>4</v>
      </c>
      <c r="K347">
        <v>4.3</v>
      </c>
      <c r="L347">
        <v>1</v>
      </c>
      <c r="M347" t="s">
        <v>87</v>
      </c>
    </row>
    <row r="348" spans="1:13" x14ac:dyDescent="0.2">
      <c r="A348" t="s">
        <v>664</v>
      </c>
      <c r="B348" t="s">
        <v>597</v>
      </c>
      <c r="C348" t="s">
        <v>24</v>
      </c>
      <c r="D348" t="s">
        <v>46</v>
      </c>
      <c r="E348" t="s">
        <v>42</v>
      </c>
      <c r="F348" t="s">
        <v>53</v>
      </c>
      <c r="G348" t="s">
        <v>54</v>
      </c>
      <c r="H348" t="s">
        <v>64</v>
      </c>
      <c r="I348">
        <v>15798</v>
      </c>
      <c r="J348">
        <v>6</v>
      </c>
      <c r="K348">
        <v>4</v>
      </c>
      <c r="L348">
        <v>1</v>
      </c>
      <c r="M348" t="s">
        <v>37</v>
      </c>
    </row>
    <row r="349" spans="1:13" x14ac:dyDescent="0.2">
      <c r="A349" t="s">
        <v>665</v>
      </c>
      <c r="B349" t="s">
        <v>666</v>
      </c>
      <c r="C349" t="s">
        <v>45</v>
      </c>
      <c r="D349" t="s">
        <v>147</v>
      </c>
      <c r="E349" t="s">
        <v>52</v>
      </c>
      <c r="F349" t="s">
        <v>53</v>
      </c>
      <c r="G349" t="s">
        <v>54</v>
      </c>
      <c r="H349" t="s">
        <v>36</v>
      </c>
      <c r="I349">
        <v>7072</v>
      </c>
      <c r="J349">
        <v>8</v>
      </c>
      <c r="K349">
        <v>3.5</v>
      </c>
      <c r="L349">
        <v>2</v>
      </c>
      <c r="M349" t="s">
        <v>144</v>
      </c>
    </row>
    <row r="350" spans="1:13" x14ac:dyDescent="0.2">
      <c r="A350" t="s">
        <v>667</v>
      </c>
      <c r="B350" t="s">
        <v>668</v>
      </c>
      <c r="C350" t="s">
        <v>146</v>
      </c>
      <c r="D350" t="s">
        <v>34</v>
      </c>
      <c r="E350" t="s">
        <v>35</v>
      </c>
      <c r="F350" t="s">
        <v>27</v>
      </c>
      <c r="G350" t="s">
        <v>19</v>
      </c>
      <c r="H350" t="s">
        <v>36</v>
      </c>
      <c r="I350">
        <v>65994</v>
      </c>
      <c r="J350">
        <v>2</v>
      </c>
      <c r="K350">
        <v>4.5999999999999996</v>
      </c>
      <c r="L350">
        <v>6</v>
      </c>
      <c r="M350" t="s">
        <v>119</v>
      </c>
    </row>
    <row r="351" spans="1:13" x14ac:dyDescent="0.2">
      <c r="A351" t="s">
        <v>669</v>
      </c>
      <c r="B351" t="s">
        <v>670</v>
      </c>
      <c r="C351" t="s">
        <v>179</v>
      </c>
      <c r="D351" t="s">
        <v>46</v>
      </c>
      <c r="E351" t="s">
        <v>42</v>
      </c>
      <c r="F351" t="s">
        <v>100</v>
      </c>
      <c r="G351" t="s">
        <v>19</v>
      </c>
      <c r="H351" t="s">
        <v>29</v>
      </c>
      <c r="I351">
        <v>26395</v>
      </c>
      <c r="J351">
        <v>5</v>
      </c>
      <c r="K351">
        <v>4.2</v>
      </c>
      <c r="L351">
        <v>8</v>
      </c>
      <c r="M351" t="s">
        <v>80</v>
      </c>
    </row>
    <row r="352" spans="1:13" x14ac:dyDescent="0.2">
      <c r="A352" t="s">
        <v>671</v>
      </c>
      <c r="B352" t="s">
        <v>14</v>
      </c>
      <c r="C352" t="s">
        <v>146</v>
      </c>
      <c r="D352" t="s">
        <v>97</v>
      </c>
      <c r="E352" t="s">
        <v>35</v>
      </c>
      <c r="F352" t="s">
        <v>18</v>
      </c>
      <c r="G352" t="s">
        <v>28</v>
      </c>
      <c r="H352" t="s">
        <v>20</v>
      </c>
      <c r="I352">
        <v>68457</v>
      </c>
      <c r="J352">
        <v>3</v>
      </c>
      <c r="K352">
        <v>4.7</v>
      </c>
      <c r="L352">
        <v>6</v>
      </c>
      <c r="M352" t="s">
        <v>21</v>
      </c>
    </row>
    <row r="353" spans="1:13" x14ac:dyDescent="0.2">
      <c r="A353" t="s">
        <v>672</v>
      </c>
      <c r="B353" t="s">
        <v>673</v>
      </c>
      <c r="C353" t="s">
        <v>78</v>
      </c>
      <c r="D353" t="s">
        <v>218</v>
      </c>
      <c r="E353" t="s">
        <v>17</v>
      </c>
      <c r="F353" t="s">
        <v>83</v>
      </c>
      <c r="G353" t="s">
        <v>104</v>
      </c>
      <c r="H353" t="s">
        <v>29</v>
      </c>
      <c r="I353">
        <v>3824</v>
      </c>
      <c r="J353">
        <v>4</v>
      </c>
      <c r="K353">
        <v>4.0999999999999996</v>
      </c>
      <c r="L353">
        <v>8</v>
      </c>
      <c r="M353" t="s">
        <v>192</v>
      </c>
    </row>
    <row r="354" spans="1:13" x14ac:dyDescent="0.2">
      <c r="A354" t="s">
        <v>674</v>
      </c>
      <c r="B354" t="s">
        <v>675</v>
      </c>
      <c r="C354" t="s">
        <v>68</v>
      </c>
      <c r="D354" t="s">
        <v>46</v>
      </c>
      <c r="E354" t="s">
        <v>42</v>
      </c>
      <c r="F354" t="s">
        <v>60</v>
      </c>
      <c r="G354" t="s">
        <v>19</v>
      </c>
      <c r="H354" t="s">
        <v>36</v>
      </c>
      <c r="I354">
        <v>3526</v>
      </c>
      <c r="J354">
        <v>2</v>
      </c>
      <c r="K354">
        <v>4.8</v>
      </c>
      <c r="L354">
        <v>4</v>
      </c>
      <c r="M354" t="s">
        <v>87</v>
      </c>
    </row>
    <row r="355" spans="1:13" x14ac:dyDescent="0.2">
      <c r="A355" t="s">
        <v>676</v>
      </c>
      <c r="B355" t="s">
        <v>275</v>
      </c>
      <c r="C355" t="s">
        <v>15</v>
      </c>
      <c r="D355" t="s">
        <v>116</v>
      </c>
      <c r="E355" t="s">
        <v>17</v>
      </c>
      <c r="F355" t="s">
        <v>83</v>
      </c>
      <c r="G355" t="s">
        <v>28</v>
      </c>
      <c r="H355" t="s">
        <v>36</v>
      </c>
      <c r="I355">
        <v>11008</v>
      </c>
      <c r="J355">
        <v>8</v>
      </c>
      <c r="K355">
        <v>4.3</v>
      </c>
      <c r="L355">
        <v>2</v>
      </c>
      <c r="M355" t="s">
        <v>119</v>
      </c>
    </row>
    <row r="356" spans="1:13" x14ac:dyDescent="0.2">
      <c r="A356" t="s">
        <v>677</v>
      </c>
      <c r="B356" t="s">
        <v>379</v>
      </c>
      <c r="C356" t="s">
        <v>40</v>
      </c>
      <c r="D356" t="s">
        <v>41</v>
      </c>
      <c r="E356" t="s">
        <v>42</v>
      </c>
      <c r="F356" t="s">
        <v>18</v>
      </c>
      <c r="G356" t="s">
        <v>19</v>
      </c>
      <c r="H356" t="s">
        <v>36</v>
      </c>
      <c r="I356">
        <v>20139</v>
      </c>
      <c r="J356">
        <v>7</v>
      </c>
      <c r="K356">
        <v>3.3</v>
      </c>
      <c r="L356">
        <v>2</v>
      </c>
      <c r="M356" t="s">
        <v>55</v>
      </c>
    </row>
    <row r="357" spans="1:13" x14ac:dyDescent="0.2">
      <c r="A357" t="s">
        <v>678</v>
      </c>
      <c r="B357" t="s">
        <v>387</v>
      </c>
      <c r="C357" t="s">
        <v>78</v>
      </c>
      <c r="D357" t="s">
        <v>86</v>
      </c>
      <c r="E357" t="s">
        <v>17</v>
      </c>
      <c r="F357" t="s">
        <v>27</v>
      </c>
      <c r="G357" t="s">
        <v>28</v>
      </c>
      <c r="H357" t="s">
        <v>36</v>
      </c>
      <c r="I357">
        <v>4816</v>
      </c>
      <c r="J357">
        <v>7</v>
      </c>
      <c r="K357">
        <v>4.3</v>
      </c>
      <c r="L357">
        <v>3</v>
      </c>
      <c r="M357" t="s">
        <v>65</v>
      </c>
    </row>
    <row r="358" spans="1:13" x14ac:dyDescent="0.2">
      <c r="A358" t="s">
        <v>679</v>
      </c>
      <c r="B358" t="s">
        <v>141</v>
      </c>
      <c r="C358" t="s">
        <v>24</v>
      </c>
      <c r="D358" t="s">
        <v>59</v>
      </c>
      <c r="E358" t="s">
        <v>26</v>
      </c>
      <c r="F358" t="s">
        <v>100</v>
      </c>
      <c r="G358" t="s">
        <v>28</v>
      </c>
      <c r="H358" t="s">
        <v>29</v>
      </c>
      <c r="I358">
        <v>30040</v>
      </c>
      <c r="J358">
        <v>8</v>
      </c>
      <c r="K358">
        <v>4.2</v>
      </c>
      <c r="L358">
        <v>6</v>
      </c>
      <c r="M358" t="s">
        <v>119</v>
      </c>
    </row>
    <row r="359" spans="1:13" x14ac:dyDescent="0.2">
      <c r="A359" t="s">
        <v>680</v>
      </c>
      <c r="B359" t="s">
        <v>681</v>
      </c>
      <c r="C359" t="s">
        <v>50</v>
      </c>
      <c r="D359" t="s">
        <v>165</v>
      </c>
      <c r="E359" t="s">
        <v>35</v>
      </c>
      <c r="F359" t="s">
        <v>100</v>
      </c>
      <c r="G359" t="s">
        <v>104</v>
      </c>
      <c r="H359" t="s">
        <v>29</v>
      </c>
      <c r="I359">
        <v>269370</v>
      </c>
      <c r="J359">
        <v>6</v>
      </c>
      <c r="K359">
        <v>4.2</v>
      </c>
      <c r="L359">
        <v>4</v>
      </c>
      <c r="M359" t="s">
        <v>126</v>
      </c>
    </row>
    <row r="360" spans="1:13" x14ac:dyDescent="0.2">
      <c r="A360" t="s">
        <v>682</v>
      </c>
      <c r="B360" t="s">
        <v>300</v>
      </c>
      <c r="C360" t="s">
        <v>15</v>
      </c>
      <c r="D360" t="s">
        <v>90</v>
      </c>
      <c r="E360" t="s">
        <v>42</v>
      </c>
      <c r="F360" t="s">
        <v>53</v>
      </c>
      <c r="G360" t="s">
        <v>19</v>
      </c>
      <c r="H360" t="s">
        <v>20</v>
      </c>
      <c r="I360">
        <v>5580</v>
      </c>
      <c r="J360">
        <v>1</v>
      </c>
      <c r="K360">
        <v>4.0999999999999996</v>
      </c>
      <c r="L360">
        <v>5</v>
      </c>
      <c r="M360" t="s">
        <v>55</v>
      </c>
    </row>
    <row r="361" spans="1:13" x14ac:dyDescent="0.2">
      <c r="A361" t="s">
        <v>683</v>
      </c>
      <c r="B361" t="s">
        <v>118</v>
      </c>
      <c r="C361" t="s">
        <v>146</v>
      </c>
      <c r="D361" t="s">
        <v>113</v>
      </c>
      <c r="E361" t="s">
        <v>35</v>
      </c>
      <c r="F361" t="s">
        <v>53</v>
      </c>
      <c r="G361" t="s">
        <v>19</v>
      </c>
      <c r="H361" t="s">
        <v>20</v>
      </c>
      <c r="I361">
        <v>377090</v>
      </c>
      <c r="J361">
        <v>5</v>
      </c>
      <c r="K361">
        <v>3.5</v>
      </c>
      <c r="L361">
        <v>1</v>
      </c>
      <c r="M361" t="s">
        <v>119</v>
      </c>
    </row>
    <row r="362" spans="1:13" x14ac:dyDescent="0.2">
      <c r="A362" t="s">
        <v>684</v>
      </c>
      <c r="B362" t="s">
        <v>413</v>
      </c>
      <c r="C362" t="s">
        <v>75</v>
      </c>
      <c r="D362" t="s">
        <v>130</v>
      </c>
      <c r="E362" t="s">
        <v>35</v>
      </c>
      <c r="F362" t="s">
        <v>27</v>
      </c>
      <c r="G362" t="s">
        <v>104</v>
      </c>
      <c r="H362" t="s">
        <v>64</v>
      </c>
      <c r="I362">
        <v>167444</v>
      </c>
      <c r="J362">
        <v>4</v>
      </c>
      <c r="K362">
        <v>3.9</v>
      </c>
      <c r="L362">
        <v>4</v>
      </c>
      <c r="M362" t="s">
        <v>30</v>
      </c>
    </row>
    <row r="363" spans="1:13" x14ac:dyDescent="0.2">
      <c r="A363" t="s">
        <v>685</v>
      </c>
      <c r="B363" t="s">
        <v>118</v>
      </c>
      <c r="C363" t="s">
        <v>170</v>
      </c>
      <c r="D363" t="s">
        <v>51</v>
      </c>
      <c r="E363" t="s">
        <v>52</v>
      </c>
      <c r="F363" t="s">
        <v>53</v>
      </c>
      <c r="G363" t="s">
        <v>28</v>
      </c>
      <c r="H363" t="s">
        <v>64</v>
      </c>
      <c r="I363">
        <v>2960</v>
      </c>
      <c r="J363">
        <v>2</v>
      </c>
      <c r="K363">
        <v>3.3</v>
      </c>
      <c r="L363">
        <v>1</v>
      </c>
      <c r="M363" t="s">
        <v>119</v>
      </c>
    </row>
    <row r="364" spans="1:13" x14ac:dyDescent="0.2">
      <c r="A364" t="s">
        <v>686</v>
      </c>
      <c r="B364" t="s">
        <v>687</v>
      </c>
      <c r="C364" t="s">
        <v>170</v>
      </c>
      <c r="D364" t="s">
        <v>86</v>
      </c>
      <c r="E364" t="s">
        <v>17</v>
      </c>
      <c r="F364" t="s">
        <v>100</v>
      </c>
      <c r="G364" t="s">
        <v>19</v>
      </c>
      <c r="H364" t="s">
        <v>20</v>
      </c>
      <c r="I364">
        <v>1598</v>
      </c>
      <c r="J364">
        <v>1</v>
      </c>
      <c r="K364">
        <v>3.3</v>
      </c>
      <c r="L364">
        <v>3</v>
      </c>
      <c r="M364" t="s">
        <v>119</v>
      </c>
    </row>
    <row r="365" spans="1:13" x14ac:dyDescent="0.2">
      <c r="A365" t="s">
        <v>688</v>
      </c>
      <c r="B365" t="s">
        <v>306</v>
      </c>
      <c r="C365" t="s">
        <v>125</v>
      </c>
      <c r="D365" t="s">
        <v>116</v>
      </c>
      <c r="E365" t="s">
        <v>17</v>
      </c>
      <c r="F365" t="s">
        <v>100</v>
      </c>
      <c r="G365" t="s">
        <v>54</v>
      </c>
      <c r="H365" t="s">
        <v>64</v>
      </c>
      <c r="I365">
        <v>1508</v>
      </c>
      <c r="J365">
        <v>2</v>
      </c>
      <c r="K365">
        <v>3.4</v>
      </c>
      <c r="L365">
        <v>2</v>
      </c>
      <c r="M365" t="s">
        <v>47</v>
      </c>
    </row>
    <row r="366" spans="1:13" x14ac:dyDescent="0.2">
      <c r="A366" t="s">
        <v>689</v>
      </c>
      <c r="B366" t="s">
        <v>690</v>
      </c>
      <c r="C366" t="s">
        <v>58</v>
      </c>
      <c r="D366" t="s">
        <v>113</v>
      </c>
      <c r="E366" t="s">
        <v>35</v>
      </c>
      <c r="F366" t="s">
        <v>83</v>
      </c>
      <c r="G366" t="s">
        <v>19</v>
      </c>
      <c r="H366" t="s">
        <v>20</v>
      </c>
      <c r="I366">
        <v>141239</v>
      </c>
      <c r="J366">
        <v>7</v>
      </c>
      <c r="K366">
        <v>3.6</v>
      </c>
      <c r="L366">
        <v>7</v>
      </c>
      <c r="M366" t="s">
        <v>55</v>
      </c>
    </row>
    <row r="367" spans="1:13" x14ac:dyDescent="0.2">
      <c r="A367" t="s">
        <v>691</v>
      </c>
      <c r="B367" t="s">
        <v>692</v>
      </c>
      <c r="C367" t="s">
        <v>170</v>
      </c>
      <c r="D367" t="s">
        <v>218</v>
      </c>
      <c r="E367" t="s">
        <v>17</v>
      </c>
      <c r="F367" t="s">
        <v>53</v>
      </c>
      <c r="G367" t="s">
        <v>54</v>
      </c>
      <c r="H367" t="s">
        <v>29</v>
      </c>
      <c r="I367">
        <v>10212</v>
      </c>
      <c r="J367">
        <v>6</v>
      </c>
      <c r="K367">
        <v>3.9</v>
      </c>
      <c r="L367">
        <v>4</v>
      </c>
      <c r="M367" t="s">
        <v>47</v>
      </c>
    </row>
    <row r="368" spans="1:13" x14ac:dyDescent="0.2">
      <c r="A368" t="s">
        <v>693</v>
      </c>
      <c r="B368" t="s">
        <v>595</v>
      </c>
      <c r="C368" t="s">
        <v>72</v>
      </c>
      <c r="D368" t="s">
        <v>109</v>
      </c>
      <c r="E368" t="s">
        <v>52</v>
      </c>
      <c r="F368" t="s">
        <v>27</v>
      </c>
      <c r="G368" t="s">
        <v>54</v>
      </c>
      <c r="H368" t="s">
        <v>36</v>
      </c>
      <c r="I368">
        <v>6776</v>
      </c>
      <c r="J368">
        <v>8</v>
      </c>
      <c r="K368">
        <v>3.6</v>
      </c>
      <c r="L368">
        <v>6</v>
      </c>
      <c r="M368" t="s">
        <v>192</v>
      </c>
    </row>
    <row r="369" spans="1:13" x14ac:dyDescent="0.2">
      <c r="A369" t="s">
        <v>694</v>
      </c>
      <c r="B369" t="s">
        <v>673</v>
      </c>
      <c r="C369" t="s">
        <v>170</v>
      </c>
      <c r="D369" t="s">
        <v>86</v>
      </c>
      <c r="E369" t="s">
        <v>17</v>
      </c>
      <c r="F369" t="s">
        <v>83</v>
      </c>
      <c r="G369" t="s">
        <v>19</v>
      </c>
      <c r="H369" t="s">
        <v>20</v>
      </c>
      <c r="I369">
        <v>2667</v>
      </c>
      <c r="J369">
        <v>3</v>
      </c>
      <c r="K369">
        <v>4</v>
      </c>
      <c r="L369">
        <v>1</v>
      </c>
      <c r="M369" t="s">
        <v>192</v>
      </c>
    </row>
    <row r="370" spans="1:13" x14ac:dyDescent="0.2">
      <c r="A370" t="s">
        <v>695</v>
      </c>
      <c r="B370" t="s">
        <v>149</v>
      </c>
      <c r="C370" t="s">
        <v>103</v>
      </c>
      <c r="D370" t="s">
        <v>59</v>
      </c>
      <c r="E370" t="s">
        <v>26</v>
      </c>
      <c r="F370" t="s">
        <v>83</v>
      </c>
      <c r="G370" t="s">
        <v>54</v>
      </c>
      <c r="H370" t="s">
        <v>29</v>
      </c>
      <c r="I370">
        <v>82808</v>
      </c>
      <c r="J370">
        <v>8</v>
      </c>
      <c r="K370">
        <v>4.8</v>
      </c>
      <c r="L370">
        <v>1</v>
      </c>
      <c r="M370" t="s">
        <v>30</v>
      </c>
    </row>
    <row r="371" spans="1:13" x14ac:dyDescent="0.2">
      <c r="A371" t="s">
        <v>696</v>
      </c>
      <c r="B371" t="s">
        <v>697</v>
      </c>
      <c r="C371" t="s">
        <v>68</v>
      </c>
      <c r="D371" t="s">
        <v>109</v>
      </c>
      <c r="E371" t="s">
        <v>52</v>
      </c>
      <c r="F371" t="s">
        <v>18</v>
      </c>
      <c r="G371" t="s">
        <v>104</v>
      </c>
      <c r="H371" t="s">
        <v>64</v>
      </c>
      <c r="I371">
        <v>2272</v>
      </c>
      <c r="J371">
        <v>8</v>
      </c>
      <c r="K371">
        <v>3.7</v>
      </c>
      <c r="L371">
        <v>6</v>
      </c>
      <c r="M371" t="s">
        <v>144</v>
      </c>
    </row>
    <row r="372" spans="1:13" x14ac:dyDescent="0.2">
      <c r="A372" t="s">
        <v>698</v>
      </c>
      <c r="B372" t="s">
        <v>62</v>
      </c>
      <c r="C372" t="s">
        <v>78</v>
      </c>
      <c r="D372" t="s">
        <v>51</v>
      </c>
      <c r="E372" t="s">
        <v>52</v>
      </c>
      <c r="F372" t="s">
        <v>27</v>
      </c>
      <c r="G372" t="s">
        <v>54</v>
      </c>
      <c r="H372" t="s">
        <v>36</v>
      </c>
      <c r="I372">
        <v>4470</v>
      </c>
      <c r="J372">
        <v>2</v>
      </c>
      <c r="K372">
        <v>3.5</v>
      </c>
      <c r="L372">
        <v>8</v>
      </c>
      <c r="M372" t="s">
        <v>65</v>
      </c>
    </row>
    <row r="373" spans="1:13" x14ac:dyDescent="0.2">
      <c r="A373" t="s">
        <v>699</v>
      </c>
      <c r="B373" t="s">
        <v>124</v>
      </c>
      <c r="C373" t="s">
        <v>122</v>
      </c>
      <c r="D373" t="s">
        <v>109</v>
      </c>
      <c r="E373" t="s">
        <v>52</v>
      </c>
      <c r="F373" t="s">
        <v>100</v>
      </c>
      <c r="G373" t="s">
        <v>104</v>
      </c>
      <c r="H373" t="s">
        <v>36</v>
      </c>
      <c r="I373">
        <v>7144</v>
      </c>
      <c r="J373">
        <v>8</v>
      </c>
      <c r="K373">
        <v>3.8</v>
      </c>
      <c r="L373">
        <v>5</v>
      </c>
      <c r="M373" t="s">
        <v>126</v>
      </c>
    </row>
    <row r="374" spans="1:13" x14ac:dyDescent="0.2">
      <c r="A374" t="s">
        <v>700</v>
      </c>
      <c r="B374" t="s">
        <v>308</v>
      </c>
      <c r="C374" t="s">
        <v>112</v>
      </c>
      <c r="D374" t="s">
        <v>97</v>
      </c>
      <c r="E374" t="s">
        <v>35</v>
      </c>
      <c r="F374" t="s">
        <v>27</v>
      </c>
      <c r="G374" t="s">
        <v>19</v>
      </c>
      <c r="H374" t="s">
        <v>64</v>
      </c>
      <c r="I374">
        <v>236490</v>
      </c>
      <c r="J374">
        <v>5</v>
      </c>
      <c r="K374">
        <v>3.4</v>
      </c>
      <c r="L374">
        <v>7</v>
      </c>
      <c r="M374" t="s">
        <v>144</v>
      </c>
    </row>
    <row r="375" spans="1:13" x14ac:dyDescent="0.2">
      <c r="A375" t="s">
        <v>701</v>
      </c>
      <c r="B375" t="s">
        <v>702</v>
      </c>
      <c r="C375" t="s">
        <v>58</v>
      </c>
      <c r="D375" t="s">
        <v>63</v>
      </c>
      <c r="E375" t="s">
        <v>52</v>
      </c>
      <c r="F375" t="s">
        <v>100</v>
      </c>
      <c r="G375" t="s">
        <v>19</v>
      </c>
      <c r="H375" t="s">
        <v>20</v>
      </c>
      <c r="I375">
        <v>7990</v>
      </c>
      <c r="J375">
        <v>5</v>
      </c>
      <c r="K375">
        <v>3.6</v>
      </c>
      <c r="L375">
        <v>3</v>
      </c>
      <c r="M375" t="s">
        <v>47</v>
      </c>
    </row>
    <row r="376" spans="1:13" x14ac:dyDescent="0.2">
      <c r="A376" t="s">
        <v>703</v>
      </c>
      <c r="B376" t="s">
        <v>363</v>
      </c>
      <c r="C376" t="s">
        <v>24</v>
      </c>
      <c r="D376" t="s">
        <v>165</v>
      </c>
      <c r="E376" t="s">
        <v>35</v>
      </c>
      <c r="F376" t="s">
        <v>53</v>
      </c>
      <c r="G376" t="s">
        <v>19</v>
      </c>
      <c r="H376" t="s">
        <v>36</v>
      </c>
      <c r="I376">
        <v>308798</v>
      </c>
      <c r="J376">
        <v>7</v>
      </c>
      <c r="K376">
        <v>4.2</v>
      </c>
      <c r="L376">
        <v>2</v>
      </c>
      <c r="M376" t="s">
        <v>80</v>
      </c>
    </row>
    <row r="377" spans="1:13" x14ac:dyDescent="0.2">
      <c r="A377" t="s">
        <v>704</v>
      </c>
      <c r="B377" t="s">
        <v>705</v>
      </c>
      <c r="C377" t="s">
        <v>45</v>
      </c>
      <c r="D377" t="s">
        <v>97</v>
      </c>
      <c r="E377" t="s">
        <v>35</v>
      </c>
      <c r="F377" t="s">
        <v>100</v>
      </c>
      <c r="G377" t="s">
        <v>104</v>
      </c>
      <c r="H377" t="s">
        <v>20</v>
      </c>
      <c r="I377">
        <v>112085</v>
      </c>
      <c r="J377">
        <v>5</v>
      </c>
      <c r="K377">
        <v>3.4</v>
      </c>
      <c r="L377">
        <v>1</v>
      </c>
      <c r="M377" t="s">
        <v>55</v>
      </c>
    </row>
    <row r="378" spans="1:13" x14ac:dyDescent="0.2">
      <c r="A378" t="s">
        <v>706</v>
      </c>
      <c r="B378" t="s">
        <v>178</v>
      </c>
      <c r="C378" t="s">
        <v>129</v>
      </c>
      <c r="D378" t="s">
        <v>79</v>
      </c>
      <c r="E378" t="s">
        <v>26</v>
      </c>
      <c r="F378" t="s">
        <v>83</v>
      </c>
      <c r="G378" t="s">
        <v>28</v>
      </c>
      <c r="H378" t="s">
        <v>64</v>
      </c>
      <c r="I378">
        <v>9030</v>
      </c>
      <c r="J378">
        <v>1</v>
      </c>
      <c r="K378">
        <v>4.7</v>
      </c>
      <c r="L378">
        <v>8</v>
      </c>
      <c r="M378" t="s">
        <v>37</v>
      </c>
    </row>
    <row r="379" spans="1:13" x14ac:dyDescent="0.2">
      <c r="A379" t="s">
        <v>707</v>
      </c>
      <c r="B379" t="s">
        <v>708</v>
      </c>
      <c r="C379" t="s">
        <v>179</v>
      </c>
      <c r="D379" t="s">
        <v>159</v>
      </c>
      <c r="E379" t="s">
        <v>42</v>
      </c>
      <c r="F379" t="s">
        <v>83</v>
      </c>
      <c r="G379" t="s">
        <v>54</v>
      </c>
      <c r="H379" t="s">
        <v>20</v>
      </c>
      <c r="I379">
        <v>3288</v>
      </c>
      <c r="J379">
        <v>4</v>
      </c>
      <c r="K379">
        <v>4.9000000000000004</v>
      </c>
      <c r="L379">
        <v>4</v>
      </c>
      <c r="M379" t="s">
        <v>80</v>
      </c>
    </row>
    <row r="380" spans="1:13" x14ac:dyDescent="0.2">
      <c r="A380" t="s">
        <v>709</v>
      </c>
      <c r="B380" t="s">
        <v>523</v>
      </c>
      <c r="C380" t="s">
        <v>170</v>
      </c>
      <c r="D380" t="s">
        <v>90</v>
      </c>
      <c r="E380" t="s">
        <v>42</v>
      </c>
      <c r="F380" t="s">
        <v>60</v>
      </c>
      <c r="G380" t="s">
        <v>54</v>
      </c>
      <c r="H380" t="s">
        <v>36</v>
      </c>
      <c r="I380">
        <v>24096</v>
      </c>
      <c r="J380">
        <v>6</v>
      </c>
      <c r="K380">
        <v>4.3</v>
      </c>
      <c r="L380">
        <v>7</v>
      </c>
      <c r="M380" t="s">
        <v>119</v>
      </c>
    </row>
    <row r="381" spans="1:13" x14ac:dyDescent="0.2">
      <c r="A381" t="s">
        <v>710</v>
      </c>
      <c r="B381" t="s">
        <v>666</v>
      </c>
      <c r="C381" t="s">
        <v>179</v>
      </c>
      <c r="D381" t="s">
        <v>90</v>
      </c>
      <c r="E381" t="s">
        <v>42</v>
      </c>
      <c r="F381" t="s">
        <v>53</v>
      </c>
      <c r="G381" t="s">
        <v>28</v>
      </c>
      <c r="H381" t="s">
        <v>64</v>
      </c>
      <c r="I381">
        <v>4084</v>
      </c>
      <c r="J381">
        <v>4</v>
      </c>
      <c r="K381">
        <v>3.9</v>
      </c>
      <c r="L381">
        <v>1</v>
      </c>
      <c r="M381" t="s">
        <v>144</v>
      </c>
    </row>
    <row r="382" spans="1:13" x14ac:dyDescent="0.2">
      <c r="A382" t="s">
        <v>711</v>
      </c>
      <c r="B382" t="s">
        <v>158</v>
      </c>
      <c r="C382" t="s">
        <v>146</v>
      </c>
      <c r="D382" t="s">
        <v>130</v>
      </c>
      <c r="E382" t="s">
        <v>35</v>
      </c>
      <c r="F382" t="s">
        <v>18</v>
      </c>
      <c r="G382" t="s">
        <v>54</v>
      </c>
      <c r="H382" t="s">
        <v>20</v>
      </c>
      <c r="I382">
        <v>248592</v>
      </c>
      <c r="J382">
        <v>3</v>
      </c>
      <c r="K382">
        <v>4.8</v>
      </c>
      <c r="L382">
        <v>8</v>
      </c>
      <c r="M382" t="s">
        <v>47</v>
      </c>
    </row>
    <row r="383" spans="1:13" x14ac:dyDescent="0.2">
      <c r="A383" t="s">
        <v>712</v>
      </c>
      <c r="B383" t="s">
        <v>713</v>
      </c>
      <c r="C383" t="s">
        <v>146</v>
      </c>
      <c r="D383" t="s">
        <v>79</v>
      </c>
      <c r="E383" t="s">
        <v>26</v>
      </c>
      <c r="F383" t="s">
        <v>18</v>
      </c>
      <c r="G383" t="s">
        <v>104</v>
      </c>
      <c r="H383" t="s">
        <v>29</v>
      </c>
      <c r="I383">
        <v>57631</v>
      </c>
      <c r="J383">
        <v>7</v>
      </c>
      <c r="K383">
        <v>4.3</v>
      </c>
      <c r="L383">
        <v>4</v>
      </c>
      <c r="M383" t="s">
        <v>55</v>
      </c>
    </row>
    <row r="384" spans="1:13" x14ac:dyDescent="0.2">
      <c r="A384" t="s">
        <v>714</v>
      </c>
      <c r="B384" t="s">
        <v>359</v>
      </c>
      <c r="C384" t="s">
        <v>50</v>
      </c>
      <c r="D384" t="s">
        <v>147</v>
      </c>
      <c r="E384" t="s">
        <v>52</v>
      </c>
      <c r="F384" t="s">
        <v>100</v>
      </c>
      <c r="G384" t="s">
        <v>28</v>
      </c>
      <c r="H384" t="s">
        <v>36</v>
      </c>
      <c r="I384">
        <v>4180</v>
      </c>
      <c r="J384">
        <v>2</v>
      </c>
      <c r="K384">
        <v>4.5</v>
      </c>
      <c r="L384">
        <v>3</v>
      </c>
      <c r="M384" t="s">
        <v>87</v>
      </c>
    </row>
    <row r="385" spans="1:13" x14ac:dyDescent="0.2">
      <c r="A385" t="s">
        <v>715</v>
      </c>
      <c r="B385" t="s">
        <v>716</v>
      </c>
      <c r="C385" t="s">
        <v>40</v>
      </c>
      <c r="D385" t="s">
        <v>109</v>
      </c>
      <c r="E385" t="s">
        <v>52</v>
      </c>
      <c r="F385" t="s">
        <v>27</v>
      </c>
      <c r="G385" t="s">
        <v>19</v>
      </c>
      <c r="H385" t="s">
        <v>36</v>
      </c>
      <c r="I385">
        <v>2526</v>
      </c>
      <c r="J385">
        <v>3</v>
      </c>
      <c r="K385">
        <v>3.8</v>
      </c>
      <c r="L385">
        <v>8</v>
      </c>
      <c r="M385" t="s">
        <v>30</v>
      </c>
    </row>
    <row r="386" spans="1:13" x14ac:dyDescent="0.2">
      <c r="A386" t="s">
        <v>717</v>
      </c>
      <c r="B386" t="s">
        <v>361</v>
      </c>
      <c r="C386" t="s">
        <v>122</v>
      </c>
      <c r="D386" t="s">
        <v>63</v>
      </c>
      <c r="E386" t="s">
        <v>52</v>
      </c>
      <c r="F386" t="s">
        <v>83</v>
      </c>
      <c r="G386" t="s">
        <v>28</v>
      </c>
      <c r="H386" t="s">
        <v>64</v>
      </c>
      <c r="I386">
        <v>10640</v>
      </c>
      <c r="J386">
        <v>5</v>
      </c>
      <c r="K386">
        <v>4.7</v>
      </c>
      <c r="L386">
        <v>8</v>
      </c>
      <c r="M386" t="s">
        <v>144</v>
      </c>
    </row>
    <row r="387" spans="1:13" x14ac:dyDescent="0.2">
      <c r="A387" t="s">
        <v>718</v>
      </c>
      <c r="B387" t="s">
        <v>290</v>
      </c>
      <c r="C387" t="s">
        <v>33</v>
      </c>
      <c r="D387" t="s">
        <v>90</v>
      </c>
      <c r="E387" t="s">
        <v>42</v>
      </c>
      <c r="F387" t="s">
        <v>83</v>
      </c>
      <c r="G387" t="s">
        <v>19</v>
      </c>
      <c r="H387" t="s">
        <v>36</v>
      </c>
      <c r="I387">
        <v>5777</v>
      </c>
      <c r="J387">
        <v>1</v>
      </c>
      <c r="K387">
        <v>4.2</v>
      </c>
      <c r="L387">
        <v>4</v>
      </c>
      <c r="M387" t="s">
        <v>87</v>
      </c>
    </row>
    <row r="388" spans="1:13" x14ac:dyDescent="0.2">
      <c r="A388" t="s">
        <v>719</v>
      </c>
      <c r="B388" t="s">
        <v>404</v>
      </c>
      <c r="C388" t="s">
        <v>24</v>
      </c>
      <c r="D388" t="s">
        <v>113</v>
      </c>
      <c r="E388" t="s">
        <v>35</v>
      </c>
      <c r="F388" t="s">
        <v>27</v>
      </c>
      <c r="G388" t="s">
        <v>104</v>
      </c>
      <c r="H388" t="s">
        <v>20</v>
      </c>
      <c r="I388">
        <v>45899</v>
      </c>
      <c r="J388">
        <v>1</v>
      </c>
      <c r="K388">
        <v>3.4</v>
      </c>
      <c r="L388">
        <v>3</v>
      </c>
      <c r="M388" t="s">
        <v>80</v>
      </c>
    </row>
    <row r="389" spans="1:13" x14ac:dyDescent="0.2">
      <c r="A389" t="s">
        <v>720</v>
      </c>
      <c r="B389" t="s">
        <v>603</v>
      </c>
      <c r="C389" t="s">
        <v>40</v>
      </c>
      <c r="D389" t="s">
        <v>46</v>
      </c>
      <c r="E389" t="s">
        <v>42</v>
      </c>
      <c r="F389" t="s">
        <v>60</v>
      </c>
      <c r="G389" t="s">
        <v>19</v>
      </c>
      <c r="H389" t="s">
        <v>36</v>
      </c>
      <c r="I389">
        <v>7608</v>
      </c>
      <c r="J389">
        <v>2</v>
      </c>
      <c r="K389">
        <v>4.5999999999999996</v>
      </c>
      <c r="L389">
        <v>2</v>
      </c>
      <c r="M389" t="s">
        <v>144</v>
      </c>
    </row>
    <row r="390" spans="1:13" x14ac:dyDescent="0.2">
      <c r="A390" t="s">
        <v>721</v>
      </c>
      <c r="B390" t="s">
        <v>722</v>
      </c>
      <c r="C390" t="s">
        <v>125</v>
      </c>
      <c r="D390" t="s">
        <v>130</v>
      </c>
      <c r="E390" t="s">
        <v>35</v>
      </c>
      <c r="F390" t="s">
        <v>27</v>
      </c>
      <c r="G390" t="s">
        <v>104</v>
      </c>
      <c r="H390" t="s">
        <v>64</v>
      </c>
      <c r="I390">
        <v>209300</v>
      </c>
      <c r="J390">
        <v>7</v>
      </c>
      <c r="K390">
        <v>3.4</v>
      </c>
      <c r="L390">
        <v>2</v>
      </c>
      <c r="M390" t="s">
        <v>65</v>
      </c>
    </row>
    <row r="391" spans="1:13" x14ac:dyDescent="0.2">
      <c r="A391" t="s">
        <v>723</v>
      </c>
      <c r="B391" t="s">
        <v>533</v>
      </c>
      <c r="C391" t="s">
        <v>45</v>
      </c>
      <c r="D391" t="s">
        <v>59</v>
      </c>
      <c r="E391" t="s">
        <v>26</v>
      </c>
      <c r="F391" t="s">
        <v>83</v>
      </c>
      <c r="G391" t="s">
        <v>104</v>
      </c>
      <c r="H391" t="s">
        <v>20</v>
      </c>
      <c r="I391">
        <v>53724</v>
      </c>
      <c r="J391">
        <v>6</v>
      </c>
      <c r="K391">
        <v>4.0999999999999996</v>
      </c>
      <c r="L391">
        <v>3</v>
      </c>
      <c r="M391" t="s">
        <v>21</v>
      </c>
    </row>
    <row r="392" spans="1:13" x14ac:dyDescent="0.2">
      <c r="A392" t="s">
        <v>724</v>
      </c>
      <c r="B392" t="s">
        <v>143</v>
      </c>
      <c r="C392" t="s">
        <v>129</v>
      </c>
      <c r="D392" t="s">
        <v>16</v>
      </c>
      <c r="E392" t="s">
        <v>17</v>
      </c>
      <c r="F392" t="s">
        <v>100</v>
      </c>
      <c r="G392" t="s">
        <v>19</v>
      </c>
      <c r="H392" t="s">
        <v>36</v>
      </c>
      <c r="I392">
        <v>12640</v>
      </c>
      <c r="J392">
        <v>8</v>
      </c>
      <c r="K392">
        <v>3.9</v>
      </c>
      <c r="L392">
        <v>6</v>
      </c>
      <c r="M392" t="s">
        <v>144</v>
      </c>
    </row>
    <row r="393" spans="1:13" x14ac:dyDescent="0.2">
      <c r="A393" t="s">
        <v>725</v>
      </c>
      <c r="B393" t="s">
        <v>135</v>
      </c>
      <c r="C393" t="s">
        <v>170</v>
      </c>
      <c r="D393" t="s">
        <v>109</v>
      </c>
      <c r="E393" t="s">
        <v>52</v>
      </c>
      <c r="F393" t="s">
        <v>53</v>
      </c>
      <c r="G393" t="s">
        <v>28</v>
      </c>
      <c r="H393" t="s">
        <v>36</v>
      </c>
      <c r="I393">
        <v>2958</v>
      </c>
      <c r="J393">
        <v>2</v>
      </c>
      <c r="K393">
        <v>4.5999999999999996</v>
      </c>
      <c r="L393">
        <v>2</v>
      </c>
      <c r="M393" t="s">
        <v>21</v>
      </c>
    </row>
    <row r="394" spans="1:13" x14ac:dyDescent="0.2">
      <c r="A394" t="s">
        <v>726</v>
      </c>
      <c r="B394" t="s">
        <v>727</v>
      </c>
      <c r="C394" t="s">
        <v>146</v>
      </c>
      <c r="D394" t="s">
        <v>63</v>
      </c>
      <c r="E394" t="s">
        <v>52</v>
      </c>
      <c r="F394" t="s">
        <v>100</v>
      </c>
      <c r="G394" t="s">
        <v>104</v>
      </c>
      <c r="H394" t="s">
        <v>64</v>
      </c>
      <c r="I394">
        <v>13272</v>
      </c>
      <c r="J394">
        <v>6</v>
      </c>
      <c r="K394">
        <v>3.4</v>
      </c>
      <c r="L394">
        <v>3</v>
      </c>
      <c r="M394" t="s">
        <v>126</v>
      </c>
    </row>
    <row r="395" spans="1:13" x14ac:dyDescent="0.2">
      <c r="A395" t="s">
        <v>728</v>
      </c>
      <c r="B395" t="s">
        <v>729</v>
      </c>
      <c r="C395" t="s">
        <v>129</v>
      </c>
      <c r="D395" t="s">
        <v>41</v>
      </c>
      <c r="E395" t="s">
        <v>42</v>
      </c>
      <c r="F395" t="s">
        <v>18</v>
      </c>
      <c r="G395" t="s">
        <v>19</v>
      </c>
      <c r="H395" t="s">
        <v>29</v>
      </c>
      <c r="I395">
        <v>25445</v>
      </c>
      <c r="J395">
        <v>5</v>
      </c>
      <c r="K395">
        <v>3.6</v>
      </c>
      <c r="L395">
        <v>6</v>
      </c>
      <c r="M395" t="s">
        <v>65</v>
      </c>
    </row>
    <row r="396" spans="1:13" x14ac:dyDescent="0.2">
      <c r="A396" t="s">
        <v>730</v>
      </c>
      <c r="B396" t="s">
        <v>731</v>
      </c>
      <c r="C396" t="s">
        <v>170</v>
      </c>
      <c r="D396" t="s">
        <v>218</v>
      </c>
      <c r="E396" t="s">
        <v>17</v>
      </c>
      <c r="F396" t="s">
        <v>27</v>
      </c>
      <c r="G396" t="s">
        <v>54</v>
      </c>
      <c r="H396" t="s">
        <v>29</v>
      </c>
      <c r="I396">
        <v>4407</v>
      </c>
      <c r="J396">
        <v>3</v>
      </c>
      <c r="K396">
        <v>4.8</v>
      </c>
      <c r="L396">
        <v>5</v>
      </c>
      <c r="M396" t="s">
        <v>55</v>
      </c>
    </row>
    <row r="397" spans="1:13" x14ac:dyDescent="0.2">
      <c r="A397" t="s">
        <v>732</v>
      </c>
      <c r="B397" t="s">
        <v>220</v>
      </c>
      <c r="C397" t="s">
        <v>129</v>
      </c>
      <c r="D397" t="s">
        <v>41</v>
      </c>
      <c r="E397" t="s">
        <v>42</v>
      </c>
      <c r="F397" t="s">
        <v>18</v>
      </c>
      <c r="G397" t="s">
        <v>19</v>
      </c>
      <c r="H397" t="s">
        <v>36</v>
      </c>
      <c r="I397">
        <v>9880</v>
      </c>
      <c r="J397">
        <v>4</v>
      </c>
      <c r="K397">
        <v>3.7</v>
      </c>
      <c r="L397">
        <v>2</v>
      </c>
      <c r="M397" t="s">
        <v>65</v>
      </c>
    </row>
    <row r="398" spans="1:13" x14ac:dyDescent="0.2">
      <c r="A398" t="s">
        <v>733</v>
      </c>
      <c r="B398" t="s">
        <v>734</v>
      </c>
      <c r="C398" t="s">
        <v>68</v>
      </c>
      <c r="D398" t="s">
        <v>41</v>
      </c>
      <c r="E398" t="s">
        <v>42</v>
      </c>
      <c r="F398" t="s">
        <v>100</v>
      </c>
      <c r="G398" t="s">
        <v>19</v>
      </c>
      <c r="H398" t="s">
        <v>20</v>
      </c>
      <c r="I398">
        <v>14967</v>
      </c>
      <c r="J398">
        <v>3</v>
      </c>
      <c r="K398">
        <v>4.5999999999999996</v>
      </c>
      <c r="L398">
        <v>3</v>
      </c>
      <c r="M398" t="s">
        <v>65</v>
      </c>
    </row>
    <row r="399" spans="1:13" x14ac:dyDescent="0.2">
      <c r="A399" t="s">
        <v>735</v>
      </c>
      <c r="B399" t="s">
        <v>454</v>
      </c>
      <c r="C399" t="s">
        <v>68</v>
      </c>
      <c r="D399" t="s">
        <v>116</v>
      </c>
      <c r="E399" t="s">
        <v>17</v>
      </c>
      <c r="F399" t="s">
        <v>100</v>
      </c>
      <c r="G399" t="s">
        <v>104</v>
      </c>
      <c r="H399" t="s">
        <v>36</v>
      </c>
      <c r="I399">
        <v>616</v>
      </c>
      <c r="J399">
        <v>2</v>
      </c>
      <c r="K399">
        <v>3.8</v>
      </c>
      <c r="L399">
        <v>1</v>
      </c>
      <c r="M399" t="s">
        <v>55</v>
      </c>
    </row>
    <row r="400" spans="1:13" x14ac:dyDescent="0.2">
      <c r="A400" t="s">
        <v>736</v>
      </c>
      <c r="B400" t="s">
        <v>737</v>
      </c>
      <c r="C400" t="s">
        <v>68</v>
      </c>
      <c r="D400" t="s">
        <v>59</v>
      </c>
      <c r="E400" t="s">
        <v>26</v>
      </c>
      <c r="F400" t="s">
        <v>53</v>
      </c>
      <c r="G400" t="s">
        <v>19</v>
      </c>
      <c r="H400" t="s">
        <v>20</v>
      </c>
      <c r="I400">
        <v>21328</v>
      </c>
      <c r="J400">
        <v>4</v>
      </c>
      <c r="K400">
        <v>4.2</v>
      </c>
      <c r="L400">
        <v>8</v>
      </c>
      <c r="M400" t="s">
        <v>192</v>
      </c>
    </row>
    <row r="401" spans="1:13" x14ac:dyDescent="0.2">
      <c r="A401" t="s">
        <v>738</v>
      </c>
      <c r="B401" t="s">
        <v>739</v>
      </c>
      <c r="C401" t="s">
        <v>58</v>
      </c>
      <c r="D401" t="s">
        <v>113</v>
      </c>
      <c r="E401" t="s">
        <v>35</v>
      </c>
      <c r="F401" t="s">
        <v>83</v>
      </c>
      <c r="G401" t="s">
        <v>19</v>
      </c>
      <c r="H401" t="s">
        <v>36</v>
      </c>
      <c r="I401">
        <v>96832</v>
      </c>
      <c r="J401">
        <v>2</v>
      </c>
      <c r="K401">
        <v>3.7</v>
      </c>
      <c r="L401">
        <v>5</v>
      </c>
      <c r="M401" t="s">
        <v>144</v>
      </c>
    </row>
    <row r="402" spans="1:13" x14ac:dyDescent="0.2">
      <c r="A402" t="s">
        <v>740</v>
      </c>
      <c r="B402" t="s">
        <v>624</v>
      </c>
      <c r="C402" t="s">
        <v>33</v>
      </c>
      <c r="D402" t="s">
        <v>165</v>
      </c>
      <c r="E402" t="s">
        <v>35</v>
      </c>
      <c r="F402" t="s">
        <v>18</v>
      </c>
      <c r="G402" t="s">
        <v>28</v>
      </c>
      <c r="H402" t="s">
        <v>64</v>
      </c>
      <c r="I402">
        <v>50400</v>
      </c>
      <c r="J402">
        <v>8</v>
      </c>
      <c r="K402">
        <v>3.3</v>
      </c>
      <c r="L402">
        <v>7</v>
      </c>
      <c r="M402" t="s">
        <v>126</v>
      </c>
    </row>
    <row r="403" spans="1:13" x14ac:dyDescent="0.2">
      <c r="A403" t="s">
        <v>741</v>
      </c>
      <c r="B403" t="s">
        <v>595</v>
      </c>
      <c r="C403" t="s">
        <v>58</v>
      </c>
      <c r="D403" t="s">
        <v>51</v>
      </c>
      <c r="E403" t="s">
        <v>52</v>
      </c>
      <c r="F403" t="s">
        <v>83</v>
      </c>
      <c r="G403" t="s">
        <v>54</v>
      </c>
      <c r="H403" t="s">
        <v>64</v>
      </c>
      <c r="I403">
        <v>9666</v>
      </c>
      <c r="J403">
        <v>6</v>
      </c>
      <c r="K403">
        <v>5</v>
      </c>
      <c r="L403">
        <v>8</v>
      </c>
      <c r="M403" t="s">
        <v>192</v>
      </c>
    </row>
    <row r="404" spans="1:13" x14ac:dyDescent="0.2">
      <c r="A404" t="s">
        <v>742</v>
      </c>
      <c r="B404" t="s">
        <v>743</v>
      </c>
      <c r="C404" t="s">
        <v>50</v>
      </c>
      <c r="D404" t="s">
        <v>116</v>
      </c>
      <c r="E404" t="s">
        <v>17</v>
      </c>
      <c r="F404" t="s">
        <v>83</v>
      </c>
      <c r="G404" t="s">
        <v>104</v>
      </c>
      <c r="H404" t="s">
        <v>29</v>
      </c>
      <c r="I404">
        <v>10104</v>
      </c>
      <c r="J404">
        <v>8</v>
      </c>
      <c r="K404">
        <v>3.7</v>
      </c>
      <c r="L404">
        <v>6</v>
      </c>
      <c r="M404" t="s">
        <v>126</v>
      </c>
    </row>
    <row r="405" spans="1:13" x14ac:dyDescent="0.2">
      <c r="A405" t="s">
        <v>744</v>
      </c>
      <c r="B405" t="s">
        <v>308</v>
      </c>
      <c r="C405" t="s">
        <v>129</v>
      </c>
      <c r="D405" t="s">
        <v>90</v>
      </c>
      <c r="E405" t="s">
        <v>42</v>
      </c>
      <c r="F405" t="s">
        <v>100</v>
      </c>
      <c r="G405" t="s">
        <v>19</v>
      </c>
      <c r="H405" t="s">
        <v>36</v>
      </c>
      <c r="I405">
        <v>9242</v>
      </c>
      <c r="J405">
        <v>2</v>
      </c>
      <c r="K405">
        <v>4.7</v>
      </c>
      <c r="L405">
        <v>5</v>
      </c>
      <c r="M405" t="s">
        <v>144</v>
      </c>
    </row>
    <row r="406" spans="1:13" x14ac:dyDescent="0.2">
      <c r="A406" t="s">
        <v>745</v>
      </c>
      <c r="B406" t="s">
        <v>681</v>
      </c>
      <c r="C406" t="s">
        <v>78</v>
      </c>
      <c r="D406" t="s">
        <v>41</v>
      </c>
      <c r="E406" t="s">
        <v>42</v>
      </c>
      <c r="F406" t="s">
        <v>83</v>
      </c>
      <c r="G406" t="s">
        <v>28</v>
      </c>
      <c r="H406" t="s">
        <v>64</v>
      </c>
      <c r="I406">
        <v>7966</v>
      </c>
      <c r="J406">
        <v>2</v>
      </c>
      <c r="K406">
        <v>3.9</v>
      </c>
      <c r="L406">
        <v>4</v>
      </c>
      <c r="M406" t="s">
        <v>126</v>
      </c>
    </row>
    <row r="407" spans="1:13" x14ac:dyDescent="0.2">
      <c r="A407" t="s">
        <v>746</v>
      </c>
      <c r="B407" t="s">
        <v>475</v>
      </c>
      <c r="C407" t="s">
        <v>58</v>
      </c>
      <c r="D407" t="s">
        <v>218</v>
      </c>
      <c r="E407" t="s">
        <v>17</v>
      </c>
      <c r="F407" t="s">
        <v>60</v>
      </c>
      <c r="G407" t="s">
        <v>54</v>
      </c>
      <c r="H407" t="s">
        <v>64</v>
      </c>
      <c r="I407">
        <v>8337</v>
      </c>
      <c r="J407">
        <v>7</v>
      </c>
      <c r="K407">
        <v>4.4000000000000004</v>
      </c>
      <c r="L407">
        <v>2</v>
      </c>
      <c r="M407" t="s">
        <v>37</v>
      </c>
    </row>
    <row r="408" spans="1:13" x14ac:dyDescent="0.2">
      <c r="A408" t="s">
        <v>747</v>
      </c>
      <c r="B408" t="s">
        <v>564</v>
      </c>
      <c r="C408" t="s">
        <v>170</v>
      </c>
      <c r="D408" t="s">
        <v>165</v>
      </c>
      <c r="E408" t="s">
        <v>35</v>
      </c>
      <c r="F408" t="s">
        <v>60</v>
      </c>
      <c r="G408" t="s">
        <v>54</v>
      </c>
      <c r="H408" t="s">
        <v>36</v>
      </c>
      <c r="I408">
        <v>445504</v>
      </c>
      <c r="J408">
        <v>8</v>
      </c>
      <c r="K408">
        <v>3.4</v>
      </c>
      <c r="L408">
        <v>7</v>
      </c>
      <c r="M408" t="s">
        <v>87</v>
      </c>
    </row>
    <row r="409" spans="1:13" x14ac:dyDescent="0.2">
      <c r="A409" t="s">
        <v>748</v>
      </c>
      <c r="B409" t="s">
        <v>640</v>
      </c>
      <c r="C409" t="s">
        <v>179</v>
      </c>
      <c r="D409" t="s">
        <v>63</v>
      </c>
      <c r="E409" t="s">
        <v>52</v>
      </c>
      <c r="F409" t="s">
        <v>83</v>
      </c>
      <c r="G409" t="s">
        <v>104</v>
      </c>
      <c r="H409" t="s">
        <v>29</v>
      </c>
      <c r="I409">
        <v>861</v>
      </c>
      <c r="J409">
        <v>1</v>
      </c>
      <c r="K409">
        <v>3.9</v>
      </c>
      <c r="L409">
        <v>8</v>
      </c>
      <c r="M409" t="s">
        <v>30</v>
      </c>
    </row>
    <row r="410" spans="1:13" x14ac:dyDescent="0.2">
      <c r="A410" t="s">
        <v>749</v>
      </c>
      <c r="B410" t="s">
        <v>391</v>
      </c>
      <c r="C410" t="s">
        <v>33</v>
      </c>
      <c r="D410" t="s">
        <v>59</v>
      </c>
      <c r="E410" t="s">
        <v>26</v>
      </c>
      <c r="F410" t="s">
        <v>53</v>
      </c>
      <c r="G410" t="s">
        <v>54</v>
      </c>
      <c r="H410" t="s">
        <v>36</v>
      </c>
      <c r="I410">
        <v>44532</v>
      </c>
      <c r="J410">
        <v>6</v>
      </c>
      <c r="K410">
        <v>4.7</v>
      </c>
      <c r="L410">
        <v>5</v>
      </c>
      <c r="M410" t="s">
        <v>47</v>
      </c>
    </row>
    <row r="411" spans="1:13" x14ac:dyDescent="0.2">
      <c r="A411" t="s">
        <v>750</v>
      </c>
      <c r="B411" t="s">
        <v>675</v>
      </c>
      <c r="C411" t="s">
        <v>50</v>
      </c>
      <c r="D411" t="s">
        <v>59</v>
      </c>
      <c r="E411" t="s">
        <v>26</v>
      </c>
      <c r="F411" t="s">
        <v>60</v>
      </c>
      <c r="G411" t="s">
        <v>28</v>
      </c>
      <c r="H411" t="s">
        <v>20</v>
      </c>
      <c r="I411">
        <v>36295</v>
      </c>
      <c r="J411">
        <v>5</v>
      </c>
      <c r="K411">
        <v>4.3</v>
      </c>
      <c r="L411">
        <v>7</v>
      </c>
      <c r="M411" t="s">
        <v>87</v>
      </c>
    </row>
    <row r="412" spans="1:13" x14ac:dyDescent="0.2">
      <c r="A412" t="s">
        <v>751</v>
      </c>
      <c r="B412" t="s">
        <v>752</v>
      </c>
      <c r="C412" t="s">
        <v>72</v>
      </c>
      <c r="D412" t="s">
        <v>51</v>
      </c>
      <c r="E412" t="s">
        <v>52</v>
      </c>
      <c r="F412" t="s">
        <v>18</v>
      </c>
      <c r="G412" t="s">
        <v>54</v>
      </c>
      <c r="H412" t="s">
        <v>36</v>
      </c>
      <c r="I412">
        <v>7300</v>
      </c>
      <c r="J412">
        <v>4</v>
      </c>
      <c r="K412">
        <v>3.7</v>
      </c>
      <c r="L412">
        <v>3</v>
      </c>
      <c r="M412" t="s">
        <v>80</v>
      </c>
    </row>
    <row r="413" spans="1:13" x14ac:dyDescent="0.2">
      <c r="A413" t="s">
        <v>753</v>
      </c>
      <c r="B413" t="s">
        <v>275</v>
      </c>
      <c r="C413" t="s">
        <v>45</v>
      </c>
      <c r="D413" t="s">
        <v>51</v>
      </c>
      <c r="E413" t="s">
        <v>52</v>
      </c>
      <c r="F413" t="s">
        <v>83</v>
      </c>
      <c r="G413" t="s">
        <v>28</v>
      </c>
      <c r="H413" t="s">
        <v>64</v>
      </c>
      <c r="I413">
        <v>4172</v>
      </c>
      <c r="J413">
        <v>7</v>
      </c>
      <c r="K413">
        <v>4.7</v>
      </c>
      <c r="L413">
        <v>7</v>
      </c>
      <c r="M413" t="s">
        <v>119</v>
      </c>
    </row>
    <row r="414" spans="1:13" x14ac:dyDescent="0.2">
      <c r="A414" t="s">
        <v>754</v>
      </c>
      <c r="B414" t="s">
        <v>352</v>
      </c>
      <c r="C414" t="s">
        <v>112</v>
      </c>
      <c r="D414" t="s">
        <v>69</v>
      </c>
      <c r="E414" t="s">
        <v>26</v>
      </c>
      <c r="F414" t="s">
        <v>53</v>
      </c>
      <c r="G414" t="s">
        <v>28</v>
      </c>
      <c r="H414" t="s">
        <v>29</v>
      </c>
      <c r="I414">
        <v>5526</v>
      </c>
      <c r="J414">
        <v>6</v>
      </c>
      <c r="K414">
        <v>4.2</v>
      </c>
      <c r="L414">
        <v>4</v>
      </c>
      <c r="M414" t="s">
        <v>55</v>
      </c>
    </row>
    <row r="415" spans="1:13" x14ac:dyDescent="0.2">
      <c r="A415" t="s">
        <v>755</v>
      </c>
      <c r="B415" t="s">
        <v>756</v>
      </c>
      <c r="C415" t="s">
        <v>72</v>
      </c>
      <c r="D415" t="s">
        <v>16</v>
      </c>
      <c r="E415" t="s">
        <v>17</v>
      </c>
      <c r="F415" t="s">
        <v>27</v>
      </c>
      <c r="G415" t="s">
        <v>104</v>
      </c>
      <c r="H415" t="s">
        <v>64</v>
      </c>
      <c r="I415">
        <v>13944</v>
      </c>
      <c r="J415">
        <v>8</v>
      </c>
      <c r="K415">
        <v>4.9000000000000004</v>
      </c>
      <c r="L415">
        <v>2</v>
      </c>
      <c r="M415" t="s">
        <v>30</v>
      </c>
    </row>
    <row r="416" spans="1:13" x14ac:dyDescent="0.2">
      <c r="A416" t="s">
        <v>757</v>
      </c>
      <c r="B416" t="s">
        <v>169</v>
      </c>
      <c r="C416" t="s">
        <v>45</v>
      </c>
      <c r="D416" t="s">
        <v>25</v>
      </c>
      <c r="E416" t="s">
        <v>26</v>
      </c>
      <c r="F416" t="s">
        <v>18</v>
      </c>
      <c r="G416" t="s">
        <v>104</v>
      </c>
      <c r="H416" t="s">
        <v>36</v>
      </c>
      <c r="I416">
        <v>19268</v>
      </c>
      <c r="J416">
        <v>2</v>
      </c>
      <c r="K416">
        <v>4.5999999999999996</v>
      </c>
      <c r="L416">
        <v>5</v>
      </c>
      <c r="M416" t="s">
        <v>65</v>
      </c>
    </row>
    <row r="417" spans="1:13" x14ac:dyDescent="0.2">
      <c r="A417" t="s">
        <v>758</v>
      </c>
      <c r="B417" t="s">
        <v>525</v>
      </c>
      <c r="C417" t="s">
        <v>45</v>
      </c>
      <c r="D417" t="s">
        <v>90</v>
      </c>
      <c r="E417" t="s">
        <v>42</v>
      </c>
      <c r="F417" t="s">
        <v>27</v>
      </c>
      <c r="G417" t="s">
        <v>104</v>
      </c>
      <c r="H417" t="s">
        <v>29</v>
      </c>
      <c r="I417">
        <v>28728</v>
      </c>
      <c r="J417">
        <v>8</v>
      </c>
      <c r="K417">
        <v>3.7</v>
      </c>
      <c r="L417">
        <v>1</v>
      </c>
      <c r="M417" t="s">
        <v>65</v>
      </c>
    </row>
    <row r="418" spans="1:13" x14ac:dyDescent="0.2">
      <c r="A418" t="s">
        <v>759</v>
      </c>
      <c r="B418" t="s">
        <v>760</v>
      </c>
      <c r="C418" t="s">
        <v>72</v>
      </c>
      <c r="D418" t="s">
        <v>116</v>
      </c>
      <c r="E418" t="s">
        <v>17</v>
      </c>
      <c r="F418" t="s">
        <v>100</v>
      </c>
      <c r="G418" t="s">
        <v>54</v>
      </c>
      <c r="H418" t="s">
        <v>29</v>
      </c>
      <c r="I418">
        <v>4419</v>
      </c>
      <c r="J418">
        <v>3</v>
      </c>
      <c r="K418">
        <v>3.7</v>
      </c>
      <c r="L418">
        <v>2</v>
      </c>
      <c r="M418" t="s">
        <v>30</v>
      </c>
    </row>
    <row r="419" spans="1:13" x14ac:dyDescent="0.2">
      <c r="A419" t="s">
        <v>761</v>
      </c>
      <c r="B419" t="s">
        <v>595</v>
      </c>
      <c r="C419" t="s">
        <v>146</v>
      </c>
      <c r="D419" t="s">
        <v>34</v>
      </c>
      <c r="E419" t="s">
        <v>35</v>
      </c>
      <c r="F419" t="s">
        <v>53</v>
      </c>
      <c r="G419" t="s">
        <v>19</v>
      </c>
      <c r="H419" t="s">
        <v>29</v>
      </c>
      <c r="I419">
        <v>21805</v>
      </c>
      <c r="J419">
        <v>5</v>
      </c>
      <c r="K419">
        <v>3.5</v>
      </c>
      <c r="L419">
        <v>3</v>
      </c>
      <c r="M419" t="s">
        <v>192</v>
      </c>
    </row>
    <row r="420" spans="1:13" x14ac:dyDescent="0.2">
      <c r="A420" t="s">
        <v>762</v>
      </c>
      <c r="B420" t="s">
        <v>763</v>
      </c>
      <c r="C420" t="s">
        <v>50</v>
      </c>
      <c r="D420" t="s">
        <v>51</v>
      </c>
      <c r="E420" t="s">
        <v>52</v>
      </c>
      <c r="F420" t="s">
        <v>83</v>
      </c>
      <c r="G420" t="s">
        <v>28</v>
      </c>
      <c r="H420" t="s">
        <v>20</v>
      </c>
      <c r="I420">
        <v>595</v>
      </c>
      <c r="J420">
        <v>1</v>
      </c>
      <c r="K420">
        <v>4.7</v>
      </c>
      <c r="L420">
        <v>7</v>
      </c>
      <c r="M420" t="s">
        <v>37</v>
      </c>
    </row>
    <row r="421" spans="1:13" x14ac:dyDescent="0.2">
      <c r="A421" t="s">
        <v>764</v>
      </c>
      <c r="B421" t="s">
        <v>697</v>
      </c>
      <c r="C421" t="s">
        <v>78</v>
      </c>
      <c r="D421" t="s">
        <v>109</v>
      </c>
      <c r="E421" t="s">
        <v>52</v>
      </c>
      <c r="F421" t="s">
        <v>83</v>
      </c>
      <c r="G421" t="s">
        <v>28</v>
      </c>
      <c r="H421" t="s">
        <v>64</v>
      </c>
      <c r="I421">
        <v>2325</v>
      </c>
      <c r="J421">
        <v>5</v>
      </c>
      <c r="K421">
        <v>4.0999999999999996</v>
      </c>
      <c r="L421">
        <v>8</v>
      </c>
      <c r="M421" t="s">
        <v>144</v>
      </c>
    </row>
    <row r="422" spans="1:13" x14ac:dyDescent="0.2">
      <c r="A422" t="s">
        <v>765</v>
      </c>
      <c r="B422" t="s">
        <v>404</v>
      </c>
      <c r="C422" t="s">
        <v>68</v>
      </c>
      <c r="D422" t="s">
        <v>46</v>
      </c>
      <c r="E422" t="s">
        <v>42</v>
      </c>
      <c r="F422" t="s">
        <v>100</v>
      </c>
      <c r="G422" t="s">
        <v>104</v>
      </c>
      <c r="H422" t="s">
        <v>64</v>
      </c>
      <c r="I422">
        <v>26803</v>
      </c>
      <c r="J422">
        <v>7</v>
      </c>
      <c r="K422">
        <v>3.8</v>
      </c>
      <c r="L422">
        <v>1</v>
      </c>
      <c r="M422" t="s">
        <v>80</v>
      </c>
    </row>
    <row r="423" spans="1:13" x14ac:dyDescent="0.2">
      <c r="A423" t="s">
        <v>766</v>
      </c>
      <c r="B423" t="s">
        <v>462</v>
      </c>
      <c r="C423" t="s">
        <v>58</v>
      </c>
      <c r="D423" t="s">
        <v>59</v>
      </c>
      <c r="E423" t="s">
        <v>26</v>
      </c>
      <c r="F423" t="s">
        <v>83</v>
      </c>
      <c r="G423" t="s">
        <v>104</v>
      </c>
      <c r="H423" t="s">
        <v>20</v>
      </c>
      <c r="I423">
        <v>36040</v>
      </c>
      <c r="J423">
        <v>5</v>
      </c>
      <c r="K423">
        <v>4</v>
      </c>
      <c r="L423">
        <v>4</v>
      </c>
      <c r="M423" t="s">
        <v>126</v>
      </c>
    </row>
    <row r="424" spans="1:13" x14ac:dyDescent="0.2">
      <c r="A424" t="s">
        <v>767</v>
      </c>
      <c r="B424" t="s">
        <v>605</v>
      </c>
      <c r="C424" t="s">
        <v>129</v>
      </c>
      <c r="D424" t="s">
        <v>165</v>
      </c>
      <c r="E424" t="s">
        <v>35</v>
      </c>
      <c r="F424" t="s">
        <v>83</v>
      </c>
      <c r="G424" t="s">
        <v>104</v>
      </c>
      <c r="H424" t="s">
        <v>29</v>
      </c>
      <c r="I424">
        <v>56403</v>
      </c>
      <c r="J424">
        <v>1</v>
      </c>
      <c r="K424">
        <v>3.4</v>
      </c>
      <c r="L424">
        <v>8</v>
      </c>
      <c r="M424" t="s">
        <v>144</v>
      </c>
    </row>
    <row r="425" spans="1:13" x14ac:dyDescent="0.2">
      <c r="A425" t="s">
        <v>768</v>
      </c>
      <c r="B425" t="s">
        <v>143</v>
      </c>
      <c r="C425" t="s">
        <v>75</v>
      </c>
      <c r="D425" t="s">
        <v>147</v>
      </c>
      <c r="E425" t="s">
        <v>52</v>
      </c>
      <c r="F425" t="s">
        <v>100</v>
      </c>
      <c r="G425" t="s">
        <v>19</v>
      </c>
      <c r="H425" t="s">
        <v>64</v>
      </c>
      <c r="I425">
        <v>2276</v>
      </c>
      <c r="J425">
        <v>2</v>
      </c>
      <c r="K425">
        <v>4.5</v>
      </c>
      <c r="L425">
        <v>2</v>
      </c>
      <c r="M425" t="s">
        <v>144</v>
      </c>
    </row>
    <row r="426" spans="1:13" x14ac:dyDescent="0.2">
      <c r="A426" t="s">
        <v>769</v>
      </c>
      <c r="B426" t="s">
        <v>675</v>
      </c>
      <c r="C426" t="s">
        <v>133</v>
      </c>
      <c r="D426" t="s">
        <v>79</v>
      </c>
      <c r="E426" t="s">
        <v>26</v>
      </c>
      <c r="F426" t="s">
        <v>27</v>
      </c>
      <c r="G426" t="s">
        <v>104</v>
      </c>
      <c r="H426" t="s">
        <v>29</v>
      </c>
      <c r="I426">
        <v>33795</v>
      </c>
      <c r="J426">
        <v>3</v>
      </c>
      <c r="K426">
        <v>4</v>
      </c>
      <c r="L426">
        <v>5</v>
      </c>
      <c r="M426" t="s">
        <v>87</v>
      </c>
    </row>
    <row r="427" spans="1:13" x14ac:dyDescent="0.2">
      <c r="A427" t="s">
        <v>770</v>
      </c>
      <c r="B427" t="s">
        <v>115</v>
      </c>
      <c r="C427" t="s">
        <v>24</v>
      </c>
      <c r="D427" t="s">
        <v>147</v>
      </c>
      <c r="E427" t="s">
        <v>52</v>
      </c>
      <c r="F427" t="s">
        <v>60</v>
      </c>
      <c r="G427" t="s">
        <v>54</v>
      </c>
      <c r="H427" t="s">
        <v>64</v>
      </c>
      <c r="I427">
        <v>1841</v>
      </c>
      <c r="J427">
        <v>1</v>
      </c>
      <c r="K427">
        <v>4.9000000000000004</v>
      </c>
      <c r="L427">
        <v>5</v>
      </c>
      <c r="M427" t="s">
        <v>21</v>
      </c>
    </row>
    <row r="428" spans="1:13" x14ac:dyDescent="0.2">
      <c r="A428" t="s">
        <v>771</v>
      </c>
      <c r="B428" t="s">
        <v>393</v>
      </c>
      <c r="C428" t="s">
        <v>146</v>
      </c>
      <c r="D428" t="s">
        <v>51</v>
      </c>
      <c r="E428" t="s">
        <v>52</v>
      </c>
      <c r="F428" t="s">
        <v>27</v>
      </c>
      <c r="G428" t="s">
        <v>104</v>
      </c>
      <c r="H428" t="s">
        <v>36</v>
      </c>
      <c r="I428">
        <v>6712</v>
      </c>
      <c r="J428">
        <v>8</v>
      </c>
      <c r="K428">
        <v>4.3</v>
      </c>
      <c r="L428">
        <v>2</v>
      </c>
      <c r="M428" t="s">
        <v>37</v>
      </c>
    </row>
    <row r="429" spans="1:13" x14ac:dyDescent="0.2">
      <c r="A429" t="s">
        <v>772</v>
      </c>
      <c r="B429" t="s">
        <v>589</v>
      </c>
      <c r="C429" t="s">
        <v>50</v>
      </c>
      <c r="D429" t="s">
        <v>16</v>
      </c>
      <c r="E429" t="s">
        <v>17</v>
      </c>
      <c r="F429" t="s">
        <v>53</v>
      </c>
      <c r="G429" t="s">
        <v>19</v>
      </c>
      <c r="H429" t="s">
        <v>29</v>
      </c>
      <c r="I429">
        <v>6065</v>
      </c>
      <c r="J429">
        <v>5</v>
      </c>
      <c r="K429">
        <v>4.4000000000000004</v>
      </c>
      <c r="L429">
        <v>1</v>
      </c>
      <c r="M429" t="s">
        <v>87</v>
      </c>
    </row>
    <row r="430" spans="1:13" x14ac:dyDescent="0.2">
      <c r="A430" t="s">
        <v>773</v>
      </c>
      <c r="B430" t="s">
        <v>326</v>
      </c>
      <c r="C430" t="s">
        <v>125</v>
      </c>
      <c r="D430" t="s">
        <v>41</v>
      </c>
      <c r="E430" t="s">
        <v>42</v>
      </c>
      <c r="F430" t="s">
        <v>18</v>
      </c>
      <c r="G430" t="s">
        <v>104</v>
      </c>
      <c r="H430" t="s">
        <v>29</v>
      </c>
      <c r="I430">
        <v>10192</v>
      </c>
      <c r="J430">
        <v>8</v>
      </c>
      <c r="K430">
        <v>3.6</v>
      </c>
      <c r="L430">
        <v>7</v>
      </c>
      <c r="M430" t="s">
        <v>65</v>
      </c>
    </row>
    <row r="431" spans="1:13" x14ac:dyDescent="0.2">
      <c r="A431" t="s">
        <v>774</v>
      </c>
      <c r="B431" t="s">
        <v>217</v>
      </c>
      <c r="C431" t="s">
        <v>179</v>
      </c>
      <c r="D431" t="s">
        <v>97</v>
      </c>
      <c r="E431" t="s">
        <v>35</v>
      </c>
      <c r="F431" t="s">
        <v>83</v>
      </c>
      <c r="G431" t="s">
        <v>54</v>
      </c>
      <c r="H431" t="s">
        <v>64</v>
      </c>
      <c r="I431">
        <v>94144</v>
      </c>
      <c r="J431">
        <v>2</v>
      </c>
      <c r="K431">
        <v>4.5999999999999996</v>
      </c>
      <c r="L431">
        <v>5</v>
      </c>
      <c r="M431" t="s">
        <v>144</v>
      </c>
    </row>
    <row r="432" spans="1:13" x14ac:dyDescent="0.2">
      <c r="A432" t="s">
        <v>775</v>
      </c>
      <c r="B432" t="s">
        <v>298</v>
      </c>
      <c r="C432" t="s">
        <v>72</v>
      </c>
      <c r="D432" t="s">
        <v>109</v>
      </c>
      <c r="E432" t="s">
        <v>52</v>
      </c>
      <c r="F432" t="s">
        <v>18</v>
      </c>
      <c r="G432" t="s">
        <v>19</v>
      </c>
      <c r="H432" t="s">
        <v>36</v>
      </c>
      <c r="I432">
        <v>12047</v>
      </c>
      <c r="J432">
        <v>7</v>
      </c>
      <c r="K432">
        <v>4</v>
      </c>
      <c r="L432">
        <v>4</v>
      </c>
      <c r="M432" t="s">
        <v>119</v>
      </c>
    </row>
    <row r="433" spans="1:13" x14ac:dyDescent="0.2">
      <c r="A433" t="s">
        <v>776</v>
      </c>
      <c r="B433" t="s">
        <v>74</v>
      </c>
      <c r="C433" t="s">
        <v>15</v>
      </c>
      <c r="D433" t="s">
        <v>79</v>
      </c>
      <c r="E433" t="s">
        <v>26</v>
      </c>
      <c r="F433" t="s">
        <v>18</v>
      </c>
      <c r="G433" t="s">
        <v>104</v>
      </c>
      <c r="H433" t="s">
        <v>36</v>
      </c>
      <c r="I433">
        <v>66836</v>
      </c>
      <c r="J433">
        <v>7</v>
      </c>
      <c r="K433">
        <v>4.9000000000000004</v>
      </c>
      <c r="L433">
        <v>8</v>
      </c>
      <c r="M433" t="s">
        <v>65</v>
      </c>
    </row>
    <row r="434" spans="1:13" x14ac:dyDescent="0.2">
      <c r="A434" t="s">
        <v>777</v>
      </c>
      <c r="B434" t="s">
        <v>176</v>
      </c>
      <c r="C434" t="s">
        <v>75</v>
      </c>
      <c r="D434" t="s">
        <v>113</v>
      </c>
      <c r="E434" t="s">
        <v>35</v>
      </c>
      <c r="F434" t="s">
        <v>18</v>
      </c>
      <c r="G434" t="s">
        <v>19</v>
      </c>
      <c r="H434" t="s">
        <v>64</v>
      </c>
      <c r="I434">
        <v>125158</v>
      </c>
      <c r="J434">
        <v>2</v>
      </c>
      <c r="K434">
        <v>4.5</v>
      </c>
      <c r="L434">
        <v>4</v>
      </c>
      <c r="M434" t="s">
        <v>55</v>
      </c>
    </row>
    <row r="435" spans="1:13" x14ac:dyDescent="0.2">
      <c r="A435" t="s">
        <v>778</v>
      </c>
      <c r="B435" t="s">
        <v>215</v>
      </c>
      <c r="C435" t="s">
        <v>68</v>
      </c>
      <c r="D435" t="s">
        <v>116</v>
      </c>
      <c r="E435" t="s">
        <v>17</v>
      </c>
      <c r="F435" t="s">
        <v>60</v>
      </c>
      <c r="G435" t="s">
        <v>19</v>
      </c>
      <c r="H435" t="s">
        <v>36</v>
      </c>
      <c r="I435">
        <v>797</v>
      </c>
      <c r="J435">
        <v>1</v>
      </c>
      <c r="K435">
        <v>3.3</v>
      </c>
      <c r="L435">
        <v>5</v>
      </c>
      <c r="M435" t="s">
        <v>192</v>
      </c>
    </row>
    <row r="436" spans="1:13" x14ac:dyDescent="0.2">
      <c r="A436" t="s">
        <v>779</v>
      </c>
      <c r="B436" t="s">
        <v>220</v>
      </c>
      <c r="C436" t="s">
        <v>58</v>
      </c>
      <c r="D436" t="s">
        <v>16</v>
      </c>
      <c r="E436" t="s">
        <v>17</v>
      </c>
      <c r="F436" t="s">
        <v>100</v>
      </c>
      <c r="G436" t="s">
        <v>19</v>
      </c>
      <c r="H436" t="s">
        <v>29</v>
      </c>
      <c r="I436">
        <v>1716</v>
      </c>
      <c r="J436">
        <v>4</v>
      </c>
      <c r="K436">
        <v>3.9</v>
      </c>
      <c r="L436">
        <v>2</v>
      </c>
      <c r="M436" t="s">
        <v>65</v>
      </c>
    </row>
    <row r="437" spans="1:13" x14ac:dyDescent="0.2">
      <c r="A437" t="s">
        <v>780</v>
      </c>
      <c r="B437" t="s">
        <v>489</v>
      </c>
      <c r="C437" t="s">
        <v>129</v>
      </c>
      <c r="D437" t="s">
        <v>147</v>
      </c>
      <c r="E437" t="s">
        <v>52</v>
      </c>
      <c r="F437" t="s">
        <v>100</v>
      </c>
      <c r="G437" t="s">
        <v>19</v>
      </c>
      <c r="H437" t="s">
        <v>64</v>
      </c>
      <c r="I437">
        <v>1524</v>
      </c>
      <c r="J437">
        <v>3</v>
      </c>
      <c r="K437">
        <v>4.5999999999999996</v>
      </c>
      <c r="L437">
        <v>3</v>
      </c>
      <c r="M437" t="s">
        <v>30</v>
      </c>
    </row>
    <row r="438" spans="1:13" x14ac:dyDescent="0.2">
      <c r="A438" t="s">
        <v>781</v>
      </c>
      <c r="B438" t="s">
        <v>670</v>
      </c>
      <c r="C438" t="s">
        <v>24</v>
      </c>
      <c r="D438" t="s">
        <v>147</v>
      </c>
      <c r="E438" t="s">
        <v>52</v>
      </c>
      <c r="F438" t="s">
        <v>18</v>
      </c>
      <c r="G438" t="s">
        <v>104</v>
      </c>
      <c r="H438" t="s">
        <v>64</v>
      </c>
      <c r="I438">
        <v>3580</v>
      </c>
      <c r="J438">
        <v>2</v>
      </c>
      <c r="K438">
        <v>3.3</v>
      </c>
      <c r="L438">
        <v>1</v>
      </c>
      <c r="M438" t="s">
        <v>80</v>
      </c>
    </row>
    <row r="439" spans="1:13" x14ac:dyDescent="0.2">
      <c r="A439" t="s">
        <v>782</v>
      </c>
      <c r="B439" t="s">
        <v>635</v>
      </c>
      <c r="C439" t="s">
        <v>45</v>
      </c>
      <c r="D439" t="s">
        <v>159</v>
      </c>
      <c r="E439" t="s">
        <v>42</v>
      </c>
      <c r="F439" t="s">
        <v>27</v>
      </c>
      <c r="G439" t="s">
        <v>54</v>
      </c>
      <c r="H439" t="s">
        <v>20</v>
      </c>
      <c r="I439">
        <v>13167</v>
      </c>
      <c r="J439">
        <v>3</v>
      </c>
      <c r="K439">
        <v>3.6</v>
      </c>
      <c r="L439">
        <v>3</v>
      </c>
      <c r="M439" t="s">
        <v>37</v>
      </c>
    </row>
    <row r="440" spans="1:13" x14ac:dyDescent="0.2">
      <c r="A440" t="s">
        <v>783</v>
      </c>
      <c r="B440" t="s">
        <v>784</v>
      </c>
      <c r="C440" t="s">
        <v>45</v>
      </c>
      <c r="D440" t="s">
        <v>41</v>
      </c>
      <c r="E440" t="s">
        <v>42</v>
      </c>
      <c r="F440" t="s">
        <v>53</v>
      </c>
      <c r="G440" t="s">
        <v>19</v>
      </c>
      <c r="H440" t="s">
        <v>64</v>
      </c>
      <c r="I440">
        <v>26340</v>
      </c>
      <c r="J440">
        <v>5</v>
      </c>
      <c r="K440">
        <v>3.5</v>
      </c>
      <c r="L440">
        <v>2</v>
      </c>
      <c r="M440" t="s">
        <v>192</v>
      </c>
    </row>
    <row r="441" spans="1:13" x14ac:dyDescent="0.2">
      <c r="A441" t="s">
        <v>785</v>
      </c>
      <c r="B441" t="s">
        <v>697</v>
      </c>
      <c r="C441" t="s">
        <v>33</v>
      </c>
      <c r="D441" t="s">
        <v>109</v>
      </c>
      <c r="E441" t="s">
        <v>52</v>
      </c>
      <c r="F441" t="s">
        <v>27</v>
      </c>
      <c r="G441" t="s">
        <v>104</v>
      </c>
      <c r="H441" t="s">
        <v>29</v>
      </c>
      <c r="I441">
        <v>3444</v>
      </c>
      <c r="J441">
        <v>4</v>
      </c>
      <c r="K441">
        <v>3.5</v>
      </c>
      <c r="L441">
        <v>1</v>
      </c>
      <c r="M441" t="s">
        <v>144</v>
      </c>
    </row>
    <row r="442" spans="1:13" x14ac:dyDescent="0.2">
      <c r="A442" t="s">
        <v>786</v>
      </c>
      <c r="B442" t="s">
        <v>195</v>
      </c>
      <c r="C442" t="s">
        <v>24</v>
      </c>
      <c r="D442" t="s">
        <v>51</v>
      </c>
      <c r="E442" t="s">
        <v>52</v>
      </c>
      <c r="F442" t="s">
        <v>18</v>
      </c>
      <c r="G442" t="s">
        <v>28</v>
      </c>
      <c r="H442" t="s">
        <v>36</v>
      </c>
      <c r="I442">
        <v>12636</v>
      </c>
      <c r="J442">
        <v>6</v>
      </c>
      <c r="K442">
        <v>4.9000000000000004</v>
      </c>
      <c r="L442">
        <v>3</v>
      </c>
      <c r="M442" t="s">
        <v>21</v>
      </c>
    </row>
    <row r="443" spans="1:13" x14ac:dyDescent="0.2">
      <c r="A443" t="s">
        <v>787</v>
      </c>
      <c r="B443" t="s">
        <v>313</v>
      </c>
      <c r="C443" t="s">
        <v>122</v>
      </c>
      <c r="D443" t="s">
        <v>86</v>
      </c>
      <c r="E443" t="s">
        <v>17</v>
      </c>
      <c r="F443" t="s">
        <v>27</v>
      </c>
      <c r="G443" t="s">
        <v>28</v>
      </c>
      <c r="H443" t="s">
        <v>20</v>
      </c>
      <c r="I443">
        <v>6948</v>
      </c>
      <c r="J443">
        <v>6</v>
      </c>
      <c r="K443">
        <v>3.8</v>
      </c>
      <c r="L443">
        <v>2</v>
      </c>
      <c r="M443" t="s">
        <v>47</v>
      </c>
    </row>
    <row r="444" spans="1:13" x14ac:dyDescent="0.2">
      <c r="A444" t="s">
        <v>788</v>
      </c>
      <c r="B444" t="s">
        <v>185</v>
      </c>
      <c r="C444" t="s">
        <v>24</v>
      </c>
      <c r="D444" t="s">
        <v>159</v>
      </c>
      <c r="E444" t="s">
        <v>42</v>
      </c>
      <c r="F444" t="s">
        <v>60</v>
      </c>
      <c r="G444" t="s">
        <v>104</v>
      </c>
      <c r="H444" t="s">
        <v>20</v>
      </c>
      <c r="I444">
        <v>34160</v>
      </c>
      <c r="J444">
        <v>8</v>
      </c>
      <c r="K444">
        <v>3.6</v>
      </c>
      <c r="L444">
        <v>8</v>
      </c>
      <c r="M444" t="s">
        <v>87</v>
      </c>
    </row>
    <row r="445" spans="1:13" x14ac:dyDescent="0.2">
      <c r="A445" t="s">
        <v>789</v>
      </c>
      <c r="B445" t="s">
        <v>790</v>
      </c>
      <c r="C445" t="s">
        <v>103</v>
      </c>
      <c r="D445" t="s">
        <v>159</v>
      </c>
      <c r="E445" t="s">
        <v>42</v>
      </c>
      <c r="F445" t="s">
        <v>83</v>
      </c>
      <c r="G445" t="s">
        <v>54</v>
      </c>
      <c r="H445" t="s">
        <v>64</v>
      </c>
      <c r="I445">
        <v>10452</v>
      </c>
      <c r="J445">
        <v>6</v>
      </c>
      <c r="K445">
        <v>4.4000000000000004</v>
      </c>
      <c r="L445">
        <v>1</v>
      </c>
      <c r="M445" t="s">
        <v>192</v>
      </c>
    </row>
    <row r="446" spans="1:13" x14ac:dyDescent="0.2">
      <c r="A446" t="s">
        <v>791</v>
      </c>
      <c r="B446" t="s">
        <v>336</v>
      </c>
      <c r="C446" t="s">
        <v>58</v>
      </c>
      <c r="D446" t="s">
        <v>90</v>
      </c>
      <c r="E446" t="s">
        <v>42</v>
      </c>
      <c r="F446" t="s">
        <v>100</v>
      </c>
      <c r="G446" t="s">
        <v>19</v>
      </c>
      <c r="H446" t="s">
        <v>36</v>
      </c>
      <c r="I446">
        <v>11904</v>
      </c>
      <c r="J446">
        <v>6</v>
      </c>
      <c r="K446">
        <v>4.9000000000000004</v>
      </c>
      <c r="L446">
        <v>3</v>
      </c>
      <c r="M446" t="s">
        <v>80</v>
      </c>
    </row>
    <row r="447" spans="1:13" x14ac:dyDescent="0.2">
      <c r="A447" t="s">
        <v>792</v>
      </c>
      <c r="B447" t="s">
        <v>32</v>
      </c>
      <c r="C447" t="s">
        <v>58</v>
      </c>
      <c r="D447" t="s">
        <v>90</v>
      </c>
      <c r="E447" t="s">
        <v>42</v>
      </c>
      <c r="F447" t="s">
        <v>83</v>
      </c>
      <c r="G447" t="s">
        <v>19</v>
      </c>
      <c r="H447" t="s">
        <v>36</v>
      </c>
      <c r="I447">
        <v>33656</v>
      </c>
      <c r="J447">
        <v>8</v>
      </c>
      <c r="K447">
        <v>3.6</v>
      </c>
      <c r="L447">
        <v>7</v>
      </c>
      <c r="M447" t="s">
        <v>37</v>
      </c>
    </row>
    <row r="448" spans="1:13" x14ac:dyDescent="0.2">
      <c r="A448" t="s">
        <v>793</v>
      </c>
      <c r="B448" t="s">
        <v>583</v>
      </c>
      <c r="C448" t="s">
        <v>146</v>
      </c>
      <c r="D448" t="s">
        <v>41</v>
      </c>
      <c r="E448" t="s">
        <v>42</v>
      </c>
      <c r="F448" t="s">
        <v>60</v>
      </c>
      <c r="G448" t="s">
        <v>19</v>
      </c>
      <c r="H448" t="s">
        <v>36</v>
      </c>
      <c r="I448">
        <v>40400</v>
      </c>
      <c r="J448">
        <v>8</v>
      </c>
      <c r="K448">
        <v>4.0999999999999996</v>
      </c>
      <c r="L448">
        <v>2</v>
      </c>
      <c r="M448" t="s">
        <v>144</v>
      </c>
    </row>
    <row r="449" spans="1:13" x14ac:dyDescent="0.2">
      <c r="A449" t="s">
        <v>794</v>
      </c>
      <c r="B449" t="s">
        <v>411</v>
      </c>
      <c r="C449" t="s">
        <v>15</v>
      </c>
      <c r="D449" t="s">
        <v>25</v>
      </c>
      <c r="E449" t="s">
        <v>26</v>
      </c>
      <c r="F449" t="s">
        <v>60</v>
      </c>
      <c r="G449" t="s">
        <v>104</v>
      </c>
      <c r="H449" t="s">
        <v>20</v>
      </c>
      <c r="I449">
        <v>33012</v>
      </c>
      <c r="J449">
        <v>7</v>
      </c>
      <c r="K449">
        <v>4.4000000000000004</v>
      </c>
      <c r="L449">
        <v>2</v>
      </c>
      <c r="M449" t="s">
        <v>119</v>
      </c>
    </row>
    <row r="450" spans="1:13" x14ac:dyDescent="0.2">
      <c r="A450" t="s">
        <v>795</v>
      </c>
      <c r="B450" t="s">
        <v>44</v>
      </c>
      <c r="C450" t="s">
        <v>75</v>
      </c>
      <c r="D450" t="s">
        <v>41</v>
      </c>
      <c r="E450" t="s">
        <v>42</v>
      </c>
      <c r="F450" t="s">
        <v>60</v>
      </c>
      <c r="G450" t="s">
        <v>104</v>
      </c>
      <c r="H450" t="s">
        <v>36</v>
      </c>
      <c r="I450">
        <v>29872</v>
      </c>
      <c r="J450">
        <v>8</v>
      </c>
      <c r="K450">
        <v>4</v>
      </c>
      <c r="L450">
        <v>1</v>
      </c>
      <c r="M450" t="s">
        <v>47</v>
      </c>
    </row>
    <row r="451" spans="1:13" x14ac:dyDescent="0.2">
      <c r="A451" t="s">
        <v>796</v>
      </c>
      <c r="B451" t="s">
        <v>797</v>
      </c>
      <c r="C451" t="s">
        <v>33</v>
      </c>
      <c r="D451" t="s">
        <v>97</v>
      </c>
      <c r="E451" t="s">
        <v>35</v>
      </c>
      <c r="F451" t="s">
        <v>18</v>
      </c>
      <c r="G451" t="s">
        <v>28</v>
      </c>
      <c r="H451" t="s">
        <v>29</v>
      </c>
      <c r="I451">
        <v>335296</v>
      </c>
      <c r="J451">
        <v>4</v>
      </c>
      <c r="K451">
        <v>4.0999999999999996</v>
      </c>
      <c r="L451">
        <v>6</v>
      </c>
      <c r="M451" t="s">
        <v>21</v>
      </c>
    </row>
    <row r="452" spans="1:13" x14ac:dyDescent="0.2">
      <c r="A452" t="s">
        <v>798</v>
      </c>
      <c r="B452" t="s">
        <v>799</v>
      </c>
      <c r="C452" t="s">
        <v>78</v>
      </c>
      <c r="D452" t="s">
        <v>41</v>
      </c>
      <c r="E452" t="s">
        <v>42</v>
      </c>
      <c r="F452" t="s">
        <v>18</v>
      </c>
      <c r="G452" t="s">
        <v>28</v>
      </c>
      <c r="H452" t="s">
        <v>20</v>
      </c>
      <c r="I452">
        <v>14262</v>
      </c>
      <c r="J452">
        <v>6</v>
      </c>
      <c r="K452">
        <v>5</v>
      </c>
      <c r="L452">
        <v>4</v>
      </c>
      <c r="M452" t="s">
        <v>55</v>
      </c>
    </row>
    <row r="453" spans="1:13" x14ac:dyDescent="0.2">
      <c r="A453" t="s">
        <v>800</v>
      </c>
      <c r="B453" t="s">
        <v>154</v>
      </c>
      <c r="C453" t="s">
        <v>125</v>
      </c>
      <c r="D453" t="s">
        <v>109</v>
      </c>
      <c r="E453" t="s">
        <v>52</v>
      </c>
      <c r="F453" t="s">
        <v>100</v>
      </c>
      <c r="G453" t="s">
        <v>54</v>
      </c>
      <c r="H453" t="s">
        <v>64</v>
      </c>
      <c r="I453">
        <v>9910</v>
      </c>
      <c r="J453">
        <v>5</v>
      </c>
      <c r="K453">
        <v>3.9</v>
      </c>
      <c r="L453">
        <v>8</v>
      </c>
      <c r="M453" t="s">
        <v>126</v>
      </c>
    </row>
    <row r="454" spans="1:13" x14ac:dyDescent="0.2">
      <c r="A454" t="s">
        <v>801</v>
      </c>
      <c r="B454" t="s">
        <v>802</v>
      </c>
      <c r="C454" t="s">
        <v>40</v>
      </c>
      <c r="D454" t="s">
        <v>59</v>
      </c>
      <c r="E454" t="s">
        <v>26</v>
      </c>
      <c r="F454" t="s">
        <v>18</v>
      </c>
      <c r="G454" t="s">
        <v>54</v>
      </c>
      <c r="H454" t="s">
        <v>20</v>
      </c>
      <c r="I454">
        <v>13380</v>
      </c>
      <c r="J454">
        <v>6</v>
      </c>
      <c r="K454">
        <v>3.3</v>
      </c>
      <c r="L454">
        <v>3</v>
      </c>
      <c r="M454" t="s">
        <v>47</v>
      </c>
    </row>
    <row r="455" spans="1:13" x14ac:dyDescent="0.2">
      <c r="A455" t="s">
        <v>803</v>
      </c>
      <c r="B455" t="s">
        <v>298</v>
      </c>
      <c r="C455" t="s">
        <v>78</v>
      </c>
      <c r="D455" t="s">
        <v>113</v>
      </c>
      <c r="E455" t="s">
        <v>35</v>
      </c>
      <c r="F455" t="s">
        <v>83</v>
      </c>
      <c r="G455" t="s">
        <v>28</v>
      </c>
      <c r="H455" t="s">
        <v>29</v>
      </c>
      <c r="I455">
        <v>87816</v>
      </c>
      <c r="J455">
        <v>3</v>
      </c>
      <c r="K455">
        <v>3.2</v>
      </c>
      <c r="L455">
        <v>7</v>
      </c>
      <c r="M455" t="s">
        <v>119</v>
      </c>
    </row>
    <row r="456" spans="1:13" x14ac:dyDescent="0.2">
      <c r="A456" t="s">
        <v>804</v>
      </c>
      <c r="B456" t="s">
        <v>805</v>
      </c>
      <c r="C456" t="s">
        <v>133</v>
      </c>
      <c r="D456" t="s">
        <v>90</v>
      </c>
      <c r="E456" t="s">
        <v>42</v>
      </c>
      <c r="F456" t="s">
        <v>100</v>
      </c>
      <c r="G456" t="s">
        <v>104</v>
      </c>
      <c r="H456" t="s">
        <v>29</v>
      </c>
      <c r="I456">
        <v>880</v>
      </c>
      <c r="J456">
        <v>1</v>
      </c>
      <c r="K456">
        <v>4.7</v>
      </c>
      <c r="L456">
        <v>6</v>
      </c>
      <c r="M456" t="s">
        <v>192</v>
      </c>
    </row>
    <row r="457" spans="1:13" x14ac:dyDescent="0.2">
      <c r="A457" t="s">
        <v>806</v>
      </c>
      <c r="B457" t="s">
        <v>406</v>
      </c>
      <c r="C457" t="s">
        <v>40</v>
      </c>
      <c r="D457" t="s">
        <v>90</v>
      </c>
      <c r="E457" t="s">
        <v>42</v>
      </c>
      <c r="F457" t="s">
        <v>18</v>
      </c>
      <c r="G457" t="s">
        <v>19</v>
      </c>
      <c r="H457" t="s">
        <v>29</v>
      </c>
      <c r="I457">
        <v>10530</v>
      </c>
      <c r="J457">
        <v>5</v>
      </c>
      <c r="K457">
        <v>3.6</v>
      </c>
      <c r="L457">
        <v>6</v>
      </c>
      <c r="M457" t="s">
        <v>47</v>
      </c>
    </row>
    <row r="458" spans="1:13" x14ac:dyDescent="0.2">
      <c r="A458" t="s">
        <v>807</v>
      </c>
      <c r="B458" t="s">
        <v>415</v>
      </c>
      <c r="C458" t="s">
        <v>24</v>
      </c>
      <c r="D458" t="s">
        <v>97</v>
      </c>
      <c r="E458" t="s">
        <v>35</v>
      </c>
      <c r="F458" t="s">
        <v>83</v>
      </c>
      <c r="G458" t="s">
        <v>54</v>
      </c>
      <c r="H458" t="s">
        <v>36</v>
      </c>
      <c r="I458">
        <v>119661</v>
      </c>
      <c r="J458">
        <v>3</v>
      </c>
      <c r="K458">
        <v>4.7</v>
      </c>
      <c r="L458">
        <v>3</v>
      </c>
      <c r="M458" t="s">
        <v>80</v>
      </c>
    </row>
    <row r="459" spans="1:13" x14ac:dyDescent="0.2">
      <c r="A459" t="s">
        <v>808</v>
      </c>
      <c r="B459" t="s">
        <v>510</v>
      </c>
      <c r="C459" t="s">
        <v>129</v>
      </c>
      <c r="D459" t="s">
        <v>165</v>
      </c>
      <c r="E459" t="s">
        <v>35</v>
      </c>
      <c r="F459" t="s">
        <v>83</v>
      </c>
      <c r="G459" t="s">
        <v>104</v>
      </c>
      <c r="H459" t="s">
        <v>64</v>
      </c>
      <c r="I459">
        <v>213456</v>
      </c>
      <c r="J459">
        <v>8</v>
      </c>
      <c r="K459">
        <v>4.5</v>
      </c>
      <c r="L459">
        <v>6</v>
      </c>
      <c r="M459" t="s">
        <v>80</v>
      </c>
    </row>
    <row r="460" spans="1:13" x14ac:dyDescent="0.2">
      <c r="A460" t="s">
        <v>809</v>
      </c>
      <c r="B460" t="s">
        <v>810</v>
      </c>
      <c r="C460" t="s">
        <v>72</v>
      </c>
      <c r="D460" t="s">
        <v>79</v>
      </c>
      <c r="E460" t="s">
        <v>26</v>
      </c>
      <c r="F460" t="s">
        <v>18</v>
      </c>
      <c r="G460" t="s">
        <v>104</v>
      </c>
      <c r="H460" t="s">
        <v>29</v>
      </c>
      <c r="I460">
        <v>15905</v>
      </c>
      <c r="J460">
        <v>5</v>
      </c>
      <c r="K460">
        <v>4.9000000000000004</v>
      </c>
      <c r="L460">
        <v>6</v>
      </c>
      <c r="M460" t="s">
        <v>30</v>
      </c>
    </row>
    <row r="461" spans="1:13" x14ac:dyDescent="0.2">
      <c r="A461" t="s">
        <v>811</v>
      </c>
      <c r="B461" t="s">
        <v>252</v>
      </c>
      <c r="C461" t="s">
        <v>78</v>
      </c>
      <c r="D461" t="s">
        <v>46</v>
      </c>
      <c r="E461" t="s">
        <v>42</v>
      </c>
      <c r="F461" t="s">
        <v>18</v>
      </c>
      <c r="G461" t="s">
        <v>104</v>
      </c>
      <c r="H461" t="s">
        <v>36</v>
      </c>
      <c r="I461">
        <v>4860</v>
      </c>
      <c r="J461">
        <v>3</v>
      </c>
      <c r="K461">
        <v>4.8</v>
      </c>
      <c r="L461">
        <v>3</v>
      </c>
      <c r="M461" t="s">
        <v>30</v>
      </c>
    </row>
    <row r="462" spans="1:13" x14ac:dyDescent="0.2">
      <c r="A462" t="s">
        <v>812</v>
      </c>
      <c r="B462" t="s">
        <v>306</v>
      </c>
      <c r="C462" t="s">
        <v>103</v>
      </c>
      <c r="D462" t="s">
        <v>159</v>
      </c>
      <c r="E462" t="s">
        <v>42</v>
      </c>
      <c r="F462" t="s">
        <v>83</v>
      </c>
      <c r="G462" t="s">
        <v>54</v>
      </c>
      <c r="H462" t="s">
        <v>36</v>
      </c>
      <c r="I462">
        <v>34086</v>
      </c>
      <c r="J462">
        <v>6</v>
      </c>
      <c r="K462">
        <v>3.6</v>
      </c>
      <c r="L462">
        <v>4</v>
      </c>
      <c r="M462" t="s">
        <v>47</v>
      </c>
    </row>
    <row r="463" spans="1:13" x14ac:dyDescent="0.2">
      <c r="A463" t="s">
        <v>813</v>
      </c>
      <c r="B463" t="s">
        <v>139</v>
      </c>
      <c r="C463" t="s">
        <v>129</v>
      </c>
      <c r="D463" t="s">
        <v>69</v>
      </c>
      <c r="E463" t="s">
        <v>26</v>
      </c>
      <c r="F463" t="s">
        <v>60</v>
      </c>
      <c r="G463" t="s">
        <v>19</v>
      </c>
      <c r="H463" t="s">
        <v>64</v>
      </c>
      <c r="I463">
        <v>12012</v>
      </c>
      <c r="J463">
        <v>2</v>
      </c>
      <c r="K463">
        <v>4.3</v>
      </c>
      <c r="L463">
        <v>1</v>
      </c>
      <c r="M463" t="s">
        <v>119</v>
      </c>
    </row>
    <row r="464" spans="1:13" x14ac:dyDescent="0.2">
      <c r="A464" t="s">
        <v>814</v>
      </c>
      <c r="B464" t="s">
        <v>310</v>
      </c>
      <c r="C464" t="s">
        <v>179</v>
      </c>
      <c r="D464" t="s">
        <v>97</v>
      </c>
      <c r="E464" t="s">
        <v>35</v>
      </c>
      <c r="F464" t="s">
        <v>27</v>
      </c>
      <c r="G464" t="s">
        <v>28</v>
      </c>
      <c r="H464" t="s">
        <v>64</v>
      </c>
      <c r="I464">
        <v>48552</v>
      </c>
      <c r="J464">
        <v>1</v>
      </c>
      <c r="K464">
        <v>4.8</v>
      </c>
      <c r="L464">
        <v>2</v>
      </c>
      <c r="M464" t="s">
        <v>55</v>
      </c>
    </row>
    <row r="465" spans="1:13" x14ac:dyDescent="0.2">
      <c r="A465" t="s">
        <v>815</v>
      </c>
      <c r="B465" t="s">
        <v>708</v>
      </c>
      <c r="C465" t="s">
        <v>40</v>
      </c>
      <c r="D465" t="s">
        <v>46</v>
      </c>
      <c r="E465" t="s">
        <v>42</v>
      </c>
      <c r="F465" t="s">
        <v>60</v>
      </c>
      <c r="G465" t="s">
        <v>104</v>
      </c>
      <c r="H465" t="s">
        <v>36</v>
      </c>
      <c r="I465">
        <v>38570</v>
      </c>
      <c r="J465">
        <v>7</v>
      </c>
      <c r="K465">
        <v>3.4</v>
      </c>
      <c r="L465">
        <v>4</v>
      </c>
      <c r="M465" t="s">
        <v>80</v>
      </c>
    </row>
    <row r="466" spans="1:13" x14ac:dyDescent="0.2">
      <c r="A466" t="s">
        <v>816</v>
      </c>
      <c r="B466" t="s">
        <v>561</v>
      </c>
      <c r="C466" t="s">
        <v>179</v>
      </c>
      <c r="D466" t="s">
        <v>69</v>
      </c>
      <c r="E466" t="s">
        <v>26</v>
      </c>
      <c r="F466" t="s">
        <v>83</v>
      </c>
      <c r="G466" t="s">
        <v>28</v>
      </c>
      <c r="H466" t="s">
        <v>29</v>
      </c>
      <c r="I466">
        <v>9906</v>
      </c>
      <c r="J466">
        <v>1</v>
      </c>
      <c r="K466">
        <v>4</v>
      </c>
      <c r="L466">
        <v>3</v>
      </c>
      <c r="M466" t="s">
        <v>87</v>
      </c>
    </row>
    <row r="467" spans="1:13" x14ac:dyDescent="0.2">
      <c r="A467" t="s">
        <v>817</v>
      </c>
      <c r="B467" t="s">
        <v>666</v>
      </c>
      <c r="C467" t="s">
        <v>72</v>
      </c>
      <c r="D467" t="s">
        <v>69</v>
      </c>
      <c r="E467" t="s">
        <v>26</v>
      </c>
      <c r="F467" t="s">
        <v>53</v>
      </c>
      <c r="G467" t="s">
        <v>104</v>
      </c>
      <c r="H467" t="s">
        <v>64</v>
      </c>
      <c r="I467">
        <v>41965</v>
      </c>
      <c r="J467">
        <v>5</v>
      </c>
      <c r="K467">
        <v>3.6</v>
      </c>
      <c r="L467">
        <v>1</v>
      </c>
      <c r="M467" t="s">
        <v>144</v>
      </c>
    </row>
    <row r="468" spans="1:13" x14ac:dyDescent="0.2">
      <c r="A468" t="s">
        <v>818</v>
      </c>
      <c r="B468" t="s">
        <v>545</v>
      </c>
      <c r="C468" t="s">
        <v>45</v>
      </c>
      <c r="D468" t="s">
        <v>218</v>
      </c>
      <c r="E468" t="s">
        <v>17</v>
      </c>
      <c r="F468" t="s">
        <v>27</v>
      </c>
      <c r="G468" t="s">
        <v>104</v>
      </c>
      <c r="H468" t="s">
        <v>64</v>
      </c>
      <c r="I468">
        <v>3921</v>
      </c>
      <c r="J468">
        <v>3</v>
      </c>
      <c r="K468">
        <v>4.0999999999999996</v>
      </c>
      <c r="L468">
        <v>2</v>
      </c>
      <c r="M468" t="s">
        <v>47</v>
      </c>
    </row>
    <row r="469" spans="1:13" x14ac:dyDescent="0.2">
      <c r="A469" t="s">
        <v>819</v>
      </c>
      <c r="B469" t="s">
        <v>533</v>
      </c>
      <c r="C469" t="s">
        <v>24</v>
      </c>
      <c r="D469" t="s">
        <v>69</v>
      </c>
      <c r="E469" t="s">
        <v>26</v>
      </c>
      <c r="F469" t="s">
        <v>100</v>
      </c>
      <c r="G469" t="s">
        <v>54</v>
      </c>
      <c r="H469" t="s">
        <v>20</v>
      </c>
      <c r="I469">
        <v>81800</v>
      </c>
      <c r="J469">
        <v>8</v>
      </c>
      <c r="K469">
        <v>3.2</v>
      </c>
      <c r="L469">
        <v>5</v>
      </c>
      <c r="M469" t="s">
        <v>21</v>
      </c>
    </row>
    <row r="470" spans="1:13" x14ac:dyDescent="0.2">
      <c r="A470" t="s">
        <v>820</v>
      </c>
      <c r="B470" t="s">
        <v>411</v>
      </c>
      <c r="C470" t="s">
        <v>33</v>
      </c>
      <c r="D470" t="s">
        <v>97</v>
      </c>
      <c r="E470" t="s">
        <v>35</v>
      </c>
      <c r="F470" t="s">
        <v>53</v>
      </c>
      <c r="G470" t="s">
        <v>104</v>
      </c>
      <c r="H470" t="s">
        <v>36</v>
      </c>
      <c r="I470">
        <v>28296</v>
      </c>
      <c r="J470">
        <v>3</v>
      </c>
      <c r="K470">
        <v>4</v>
      </c>
      <c r="L470">
        <v>6</v>
      </c>
      <c r="M470" t="s">
        <v>119</v>
      </c>
    </row>
    <row r="471" spans="1:13" x14ac:dyDescent="0.2">
      <c r="A471" t="s">
        <v>821</v>
      </c>
      <c r="B471" t="s">
        <v>784</v>
      </c>
      <c r="C471" t="s">
        <v>103</v>
      </c>
      <c r="D471" t="s">
        <v>79</v>
      </c>
      <c r="E471" t="s">
        <v>26</v>
      </c>
      <c r="F471" t="s">
        <v>27</v>
      </c>
      <c r="G471" t="s">
        <v>104</v>
      </c>
      <c r="H471" t="s">
        <v>36</v>
      </c>
      <c r="I471">
        <v>17940</v>
      </c>
      <c r="J471">
        <v>3</v>
      </c>
      <c r="K471">
        <v>4.7</v>
      </c>
      <c r="L471">
        <v>5</v>
      </c>
      <c r="M471" t="s">
        <v>192</v>
      </c>
    </row>
    <row r="472" spans="1:13" x14ac:dyDescent="0.2">
      <c r="A472" t="s">
        <v>822</v>
      </c>
      <c r="B472" t="s">
        <v>371</v>
      </c>
      <c r="C472" t="s">
        <v>68</v>
      </c>
      <c r="D472" t="s">
        <v>59</v>
      </c>
      <c r="E472" t="s">
        <v>26</v>
      </c>
      <c r="F472" t="s">
        <v>83</v>
      </c>
      <c r="G472" t="s">
        <v>19</v>
      </c>
      <c r="H472" t="s">
        <v>20</v>
      </c>
      <c r="I472">
        <v>8744</v>
      </c>
      <c r="J472">
        <v>1</v>
      </c>
      <c r="K472">
        <v>3.9</v>
      </c>
      <c r="L472">
        <v>3</v>
      </c>
      <c r="M472" t="s">
        <v>80</v>
      </c>
    </row>
    <row r="473" spans="1:13" x14ac:dyDescent="0.2">
      <c r="A473" t="s">
        <v>823</v>
      </c>
      <c r="B473" t="s">
        <v>545</v>
      </c>
      <c r="C473" t="s">
        <v>72</v>
      </c>
      <c r="D473" t="s">
        <v>147</v>
      </c>
      <c r="E473" t="s">
        <v>52</v>
      </c>
      <c r="F473" t="s">
        <v>60</v>
      </c>
      <c r="G473" t="s">
        <v>104</v>
      </c>
      <c r="H473" t="s">
        <v>20</v>
      </c>
      <c r="I473">
        <v>5816</v>
      </c>
      <c r="J473">
        <v>8</v>
      </c>
      <c r="K473">
        <v>3.8</v>
      </c>
      <c r="L473">
        <v>6</v>
      </c>
      <c r="M473" t="s">
        <v>47</v>
      </c>
    </row>
    <row r="474" spans="1:13" x14ac:dyDescent="0.2">
      <c r="A474" t="s">
        <v>824</v>
      </c>
      <c r="B474" t="s">
        <v>825</v>
      </c>
      <c r="C474" t="s">
        <v>133</v>
      </c>
      <c r="D474" t="s">
        <v>113</v>
      </c>
      <c r="E474" t="s">
        <v>35</v>
      </c>
      <c r="F474" t="s">
        <v>27</v>
      </c>
      <c r="G474" t="s">
        <v>54</v>
      </c>
      <c r="H474" t="s">
        <v>36</v>
      </c>
      <c r="I474">
        <v>128788</v>
      </c>
      <c r="J474">
        <v>4</v>
      </c>
      <c r="K474">
        <v>3.6</v>
      </c>
      <c r="L474">
        <v>2</v>
      </c>
      <c r="M474" t="s">
        <v>80</v>
      </c>
    </row>
    <row r="475" spans="1:13" x14ac:dyDescent="0.2">
      <c r="A475" t="s">
        <v>826</v>
      </c>
      <c r="B475" t="s">
        <v>692</v>
      </c>
      <c r="C475" t="s">
        <v>103</v>
      </c>
      <c r="D475" t="s">
        <v>116</v>
      </c>
      <c r="E475" t="s">
        <v>17</v>
      </c>
      <c r="F475" t="s">
        <v>18</v>
      </c>
      <c r="G475" t="s">
        <v>54</v>
      </c>
      <c r="H475" t="s">
        <v>29</v>
      </c>
      <c r="I475">
        <v>702</v>
      </c>
      <c r="J475">
        <v>1</v>
      </c>
      <c r="K475">
        <v>3.3</v>
      </c>
      <c r="L475">
        <v>2</v>
      </c>
      <c r="M475" t="s">
        <v>47</v>
      </c>
    </row>
    <row r="476" spans="1:13" x14ac:dyDescent="0.2">
      <c r="A476" t="s">
        <v>827</v>
      </c>
      <c r="B476" t="s">
        <v>593</v>
      </c>
      <c r="C476" t="s">
        <v>58</v>
      </c>
      <c r="D476" t="s">
        <v>16</v>
      </c>
      <c r="E476" t="s">
        <v>17</v>
      </c>
      <c r="F476" t="s">
        <v>53</v>
      </c>
      <c r="G476" t="s">
        <v>104</v>
      </c>
      <c r="H476" t="s">
        <v>20</v>
      </c>
      <c r="I476">
        <v>6012</v>
      </c>
      <c r="J476">
        <v>4</v>
      </c>
      <c r="K476">
        <v>3.4</v>
      </c>
      <c r="L476">
        <v>5</v>
      </c>
      <c r="M476" t="s">
        <v>80</v>
      </c>
    </row>
    <row r="477" spans="1:13" x14ac:dyDescent="0.2">
      <c r="A477" t="s">
        <v>828</v>
      </c>
      <c r="B477" t="s">
        <v>829</v>
      </c>
      <c r="C477" t="s">
        <v>78</v>
      </c>
      <c r="D477" t="s">
        <v>79</v>
      </c>
      <c r="E477" t="s">
        <v>26</v>
      </c>
      <c r="F477" t="s">
        <v>18</v>
      </c>
      <c r="G477" t="s">
        <v>54</v>
      </c>
      <c r="H477" t="s">
        <v>20</v>
      </c>
      <c r="I477">
        <v>7876</v>
      </c>
      <c r="J477">
        <v>2</v>
      </c>
      <c r="K477">
        <v>4.9000000000000004</v>
      </c>
      <c r="L477">
        <v>3</v>
      </c>
      <c r="M477" t="s">
        <v>65</v>
      </c>
    </row>
    <row r="478" spans="1:13" x14ac:dyDescent="0.2">
      <c r="A478" t="s">
        <v>830</v>
      </c>
      <c r="B478" t="s">
        <v>799</v>
      </c>
      <c r="C478" t="s">
        <v>133</v>
      </c>
      <c r="D478" t="s">
        <v>69</v>
      </c>
      <c r="E478" t="s">
        <v>26</v>
      </c>
      <c r="F478" t="s">
        <v>18</v>
      </c>
      <c r="G478" t="s">
        <v>104</v>
      </c>
      <c r="H478" t="s">
        <v>36</v>
      </c>
      <c r="I478">
        <v>21057</v>
      </c>
      <c r="J478">
        <v>3</v>
      </c>
      <c r="K478">
        <v>4</v>
      </c>
      <c r="L478">
        <v>4</v>
      </c>
      <c r="M478" t="s">
        <v>55</v>
      </c>
    </row>
    <row r="479" spans="1:13" x14ac:dyDescent="0.2">
      <c r="A479" t="s">
        <v>831</v>
      </c>
      <c r="B479" t="s">
        <v>729</v>
      </c>
      <c r="C479" t="s">
        <v>68</v>
      </c>
      <c r="D479" t="s">
        <v>41</v>
      </c>
      <c r="E479" t="s">
        <v>42</v>
      </c>
      <c r="F479" t="s">
        <v>60</v>
      </c>
      <c r="G479" t="s">
        <v>104</v>
      </c>
      <c r="H479" t="s">
        <v>64</v>
      </c>
      <c r="I479">
        <v>15792</v>
      </c>
      <c r="J479">
        <v>3</v>
      </c>
      <c r="K479">
        <v>3.3</v>
      </c>
      <c r="L479">
        <v>8</v>
      </c>
      <c r="M479" t="s">
        <v>65</v>
      </c>
    </row>
    <row r="480" spans="1:13" x14ac:dyDescent="0.2">
      <c r="A480" t="s">
        <v>832</v>
      </c>
      <c r="B480" t="s">
        <v>833</v>
      </c>
      <c r="C480" t="s">
        <v>129</v>
      </c>
      <c r="D480" t="s">
        <v>59</v>
      </c>
      <c r="E480" t="s">
        <v>26</v>
      </c>
      <c r="F480" t="s">
        <v>83</v>
      </c>
      <c r="G480" t="s">
        <v>54</v>
      </c>
      <c r="H480" t="s">
        <v>64</v>
      </c>
      <c r="I480">
        <v>31144</v>
      </c>
      <c r="J480">
        <v>8</v>
      </c>
      <c r="K480">
        <v>4.7</v>
      </c>
      <c r="L480">
        <v>8</v>
      </c>
      <c r="M480" t="s">
        <v>119</v>
      </c>
    </row>
    <row r="481" spans="1:13" x14ac:dyDescent="0.2">
      <c r="A481" t="s">
        <v>834</v>
      </c>
      <c r="B481" t="s">
        <v>82</v>
      </c>
      <c r="C481" t="s">
        <v>75</v>
      </c>
      <c r="D481" t="s">
        <v>116</v>
      </c>
      <c r="E481" t="s">
        <v>17</v>
      </c>
      <c r="F481" t="s">
        <v>53</v>
      </c>
      <c r="G481" t="s">
        <v>19</v>
      </c>
      <c r="H481" t="s">
        <v>29</v>
      </c>
      <c r="I481">
        <v>1088</v>
      </c>
      <c r="J481">
        <v>2</v>
      </c>
      <c r="K481">
        <v>5</v>
      </c>
      <c r="L481">
        <v>3</v>
      </c>
      <c r="M481" t="s">
        <v>47</v>
      </c>
    </row>
    <row r="482" spans="1:13" x14ac:dyDescent="0.2">
      <c r="A482" t="s">
        <v>835</v>
      </c>
      <c r="B482" t="s">
        <v>203</v>
      </c>
      <c r="C482" t="s">
        <v>129</v>
      </c>
      <c r="D482" t="s">
        <v>51</v>
      </c>
      <c r="E482" t="s">
        <v>52</v>
      </c>
      <c r="F482" t="s">
        <v>60</v>
      </c>
      <c r="G482" t="s">
        <v>28</v>
      </c>
      <c r="H482" t="s">
        <v>64</v>
      </c>
      <c r="I482">
        <v>9176</v>
      </c>
      <c r="J482">
        <v>4</v>
      </c>
      <c r="K482">
        <v>3.7</v>
      </c>
      <c r="L482">
        <v>7</v>
      </c>
      <c r="M482" t="s">
        <v>80</v>
      </c>
    </row>
    <row r="483" spans="1:13" x14ac:dyDescent="0.2">
      <c r="A483" t="s">
        <v>836</v>
      </c>
      <c r="B483" t="s">
        <v>837</v>
      </c>
      <c r="C483" t="s">
        <v>15</v>
      </c>
      <c r="D483" t="s">
        <v>59</v>
      </c>
      <c r="E483" t="s">
        <v>26</v>
      </c>
      <c r="F483" t="s">
        <v>18</v>
      </c>
      <c r="G483" t="s">
        <v>54</v>
      </c>
      <c r="H483" t="s">
        <v>36</v>
      </c>
      <c r="I483">
        <v>71576</v>
      </c>
      <c r="J483">
        <v>8</v>
      </c>
      <c r="K483">
        <v>3.6</v>
      </c>
      <c r="L483">
        <v>3</v>
      </c>
      <c r="M483" t="s">
        <v>80</v>
      </c>
    </row>
    <row r="484" spans="1:13" x14ac:dyDescent="0.2">
      <c r="A484" t="s">
        <v>838</v>
      </c>
      <c r="B484" t="s">
        <v>393</v>
      </c>
      <c r="C484" t="s">
        <v>112</v>
      </c>
      <c r="D484" t="s">
        <v>41</v>
      </c>
      <c r="E484" t="s">
        <v>42</v>
      </c>
      <c r="F484" t="s">
        <v>60</v>
      </c>
      <c r="G484" t="s">
        <v>28</v>
      </c>
      <c r="H484" t="s">
        <v>20</v>
      </c>
      <c r="I484">
        <v>22260</v>
      </c>
      <c r="J484">
        <v>7</v>
      </c>
      <c r="K484">
        <v>4.3</v>
      </c>
      <c r="L484">
        <v>2</v>
      </c>
      <c r="M484" t="s">
        <v>37</v>
      </c>
    </row>
    <row r="485" spans="1:13" x14ac:dyDescent="0.2">
      <c r="A485" t="s">
        <v>839</v>
      </c>
      <c r="B485" t="s">
        <v>579</v>
      </c>
      <c r="C485" t="s">
        <v>133</v>
      </c>
      <c r="D485" t="s">
        <v>97</v>
      </c>
      <c r="E485" t="s">
        <v>35</v>
      </c>
      <c r="F485" t="s">
        <v>18</v>
      </c>
      <c r="G485" t="s">
        <v>28</v>
      </c>
      <c r="H485" t="s">
        <v>64</v>
      </c>
      <c r="I485">
        <v>366740</v>
      </c>
      <c r="J485">
        <v>5</v>
      </c>
      <c r="K485">
        <v>4.9000000000000004</v>
      </c>
      <c r="L485">
        <v>1</v>
      </c>
      <c r="M485" t="s">
        <v>65</v>
      </c>
    </row>
    <row r="486" spans="1:13" x14ac:dyDescent="0.2">
      <c r="A486" t="s">
        <v>840</v>
      </c>
      <c r="B486" t="s">
        <v>841</v>
      </c>
      <c r="C486" t="s">
        <v>24</v>
      </c>
      <c r="D486" t="s">
        <v>97</v>
      </c>
      <c r="E486" t="s">
        <v>35</v>
      </c>
      <c r="F486" t="s">
        <v>60</v>
      </c>
      <c r="G486" t="s">
        <v>28</v>
      </c>
      <c r="H486" t="s">
        <v>20</v>
      </c>
      <c r="I486">
        <v>205456</v>
      </c>
      <c r="J486">
        <v>8</v>
      </c>
      <c r="K486">
        <v>4.7</v>
      </c>
      <c r="L486">
        <v>5</v>
      </c>
      <c r="M486" t="s">
        <v>47</v>
      </c>
    </row>
    <row r="487" spans="1:13" x14ac:dyDescent="0.2">
      <c r="A487" t="s">
        <v>842</v>
      </c>
      <c r="B487" t="s">
        <v>843</v>
      </c>
      <c r="C487" t="s">
        <v>112</v>
      </c>
      <c r="D487" t="s">
        <v>97</v>
      </c>
      <c r="E487" t="s">
        <v>35</v>
      </c>
      <c r="F487" t="s">
        <v>18</v>
      </c>
      <c r="G487" t="s">
        <v>28</v>
      </c>
      <c r="H487" t="s">
        <v>29</v>
      </c>
      <c r="I487">
        <v>150170</v>
      </c>
      <c r="J487">
        <v>2</v>
      </c>
      <c r="K487">
        <v>4</v>
      </c>
      <c r="L487">
        <v>3</v>
      </c>
      <c r="M487" t="s">
        <v>65</v>
      </c>
    </row>
    <row r="488" spans="1:13" x14ac:dyDescent="0.2">
      <c r="A488" t="s">
        <v>844</v>
      </c>
      <c r="B488" t="s">
        <v>595</v>
      </c>
      <c r="C488" t="s">
        <v>129</v>
      </c>
      <c r="D488" t="s">
        <v>90</v>
      </c>
      <c r="E488" t="s">
        <v>42</v>
      </c>
      <c r="F488" t="s">
        <v>27</v>
      </c>
      <c r="G488" t="s">
        <v>54</v>
      </c>
      <c r="H488" t="s">
        <v>29</v>
      </c>
      <c r="I488">
        <v>5580</v>
      </c>
      <c r="J488">
        <v>6</v>
      </c>
      <c r="K488">
        <v>3.3</v>
      </c>
      <c r="L488">
        <v>6</v>
      </c>
      <c r="M488" t="s">
        <v>192</v>
      </c>
    </row>
    <row r="489" spans="1:13" x14ac:dyDescent="0.2">
      <c r="A489" t="s">
        <v>845</v>
      </c>
      <c r="B489" t="s">
        <v>846</v>
      </c>
      <c r="C489" t="s">
        <v>40</v>
      </c>
      <c r="D489" t="s">
        <v>41</v>
      </c>
      <c r="E489" t="s">
        <v>42</v>
      </c>
      <c r="F489" t="s">
        <v>100</v>
      </c>
      <c r="G489" t="s">
        <v>54</v>
      </c>
      <c r="H489" t="s">
        <v>36</v>
      </c>
      <c r="I489">
        <v>6972</v>
      </c>
      <c r="J489">
        <v>6</v>
      </c>
      <c r="K489">
        <v>3.6</v>
      </c>
      <c r="L489">
        <v>4</v>
      </c>
      <c r="M489" t="s">
        <v>47</v>
      </c>
    </row>
    <row r="490" spans="1:13" x14ac:dyDescent="0.2">
      <c r="A490" t="s">
        <v>847</v>
      </c>
      <c r="B490" t="s">
        <v>156</v>
      </c>
      <c r="C490" t="s">
        <v>58</v>
      </c>
      <c r="D490" t="s">
        <v>113</v>
      </c>
      <c r="E490" t="s">
        <v>35</v>
      </c>
      <c r="F490" t="s">
        <v>100</v>
      </c>
      <c r="G490" t="s">
        <v>28</v>
      </c>
      <c r="H490" t="s">
        <v>29</v>
      </c>
      <c r="I490">
        <v>135732</v>
      </c>
      <c r="J490">
        <v>3</v>
      </c>
      <c r="K490">
        <v>4.4000000000000004</v>
      </c>
      <c r="L490">
        <v>7</v>
      </c>
      <c r="M490" t="s">
        <v>126</v>
      </c>
    </row>
    <row r="491" spans="1:13" x14ac:dyDescent="0.2">
      <c r="A491" t="s">
        <v>848</v>
      </c>
      <c r="B491" t="s">
        <v>543</v>
      </c>
      <c r="C491" t="s">
        <v>68</v>
      </c>
      <c r="D491" t="s">
        <v>116</v>
      </c>
      <c r="E491" t="s">
        <v>17</v>
      </c>
      <c r="F491" t="s">
        <v>27</v>
      </c>
      <c r="G491" t="s">
        <v>19</v>
      </c>
      <c r="H491" t="s">
        <v>29</v>
      </c>
      <c r="I491">
        <v>948</v>
      </c>
      <c r="J491">
        <v>1</v>
      </c>
      <c r="K491">
        <v>4.2</v>
      </c>
      <c r="L491">
        <v>8</v>
      </c>
      <c r="M491" t="s">
        <v>30</v>
      </c>
    </row>
    <row r="492" spans="1:13" x14ac:dyDescent="0.2">
      <c r="A492" t="s">
        <v>849</v>
      </c>
      <c r="B492" t="s">
        <v>415</v>
      </c>
      <c r="C492" t="s">
        <v>78</v>
      </c>
      <c r="D492" t="s">
        <v>46</v>
      </c>
      <c r="E492" t="s">
        <v>42</v>
      </c>
      <c r="F492" t="s">
        <v>83</v>
      </c>
      <c r="G492" t="s">
        <v>104</v>
      </c>
      <c r="H492" t="s">
        <v>29</v>
      </c>
      <c r="I492">
        <v>23855</v>
      </c>
      <c r="J492">
        <v>5</v>
      </c>
      <c r="K492">
        <v>4.7</v>
      </c>
      <c r="L492">
        <v>2</v>
      </c>
      <c r="M492" t="s">
        <v>80</v>
      </c>
    </row>
    <row r="493" spans="1:13" x14ac:dyDescent="0.2">
      <c r="A493" t="s">
        <v>850</v>
      </c>
      <c r="B493" t="s">
        <v>252</v>
      </c>
      <c r="C493" t="s">
        <v>58</v>
      </c>
      <c r="D493" t="s">
        <v>218</v>
      </c>
      <c r="E493" t="s">
        <v>17</v>
      </c>
      <c r="F493" t="s">
        <v>100</v>
      </c>
      <c r="G493" t="s">
        <v>28</v>
      </c>
      <c r="H493" t="s">
        <v>64</v>
      </c>
      <c r="I493">
        <v>5334</v>
      </c>
      <c r="J493">
        <v>7</v>
      </c>
      <c r="K493">
        <v>3.8</v>
      </c>
      <c r="L493">
        <v>2</v>
      </c>
      <c r="M493" t="s">
        <v>30</v>
      </c>
    </row>
    <row r="494" spans="1:13" x14ac:dyDescent="0.2">
      <c r="A494" t="s">
        <v>851</v>
      </c>
      <c r="B494" t="s">
        <v>263</v>
      </c>
      <c r="C494" t="s">
        <v>103</v>
      </c>
      <c r="D494" t="s">
        <v>109</v>
      </c>
      <c r="E494" t="s">
        <v>52</v>
      </c>
      <c r="F494" t="s">
        <v>100</v>
      </c>
      <c r="G494" t="s">
        <v>28</v>
      </c>
      <c r="H494" t="s">
        <v>20</v>
      </c>
      <c r="I494">
        <v>7390</v>
      </c>
      <c r="J494">
        <v>5</v>
      </c>
      <c r="K494">
        <v>3.6</v>
      </c>
      <c r="L494">
        <v>7</v>
      </c>
      <c r="M494" t="s">
        <v>87</v>
      </c>
    </row>
    <row r="495" spans="1:13" x14ac:dyDescent="0.2">
      <c r="A495" t="s">
        <v>852</v>
      </c>
      <c r="B495" t="s">
        <v>424</v>
      </c>
      <c r="C495" t="s">
        <v>58</v>
      </c>
      <c r="D495" t="s">
        <v>86</v>
      </c>
      <c r="E495" t="s">
        <v>17</v>
      </c>
      <c r="F495" t="s">
        <v>27</v>
      </c>
      <c r="G495" t="s">
        <v>54</v>
      </c>
      <c r="H495" t="s">
        <v>20</v>
      </c>
      <c r="I495">
        <v>5888</v>
      </c>
      <c r="J495">
        <v>8</v>
      </c>
      <c r="K495">
        <v>4.7</v>
      </c>
      <c r="L495">
        <v>7</v>
      </c>
      <c r="M495" t="s">
        <v>30</v>
      </c>
    </row>
    <row r="496" spans="1:13" x14ac:dyDescent="0.2">
      <c r="A496" t="s">
        <v>853</v>
      </c>
      <c r="B496" t="s">
        <v>837</v>
      </c>
      <c r="C496" t="s">
        <v>179</v>
      </c>
      <c r="D496" t="s">
        <v>97</v>
      </c>
      <c r="E496" t="s">
        <v>35</v>
      </c>
      <c r="F496" t="s">
        <v>60</v>
      </c>
      <c r="G496" t="s">
        <v>104</v>
      </c>
      <c r="H496" t="s">
        <v>29</v>
      </c>
      <c r="I496">
        <v>238268</v>
      </c>
      <c r="J496">
        <v>4</v>
      </c>
      <c r="K496">
        <v>4.7</v>
      </c>
      <c r="L496">
        <v>2</v>
      </c>
      <c r="M496" t="s">
        <v>80</v>
      </c>
    </row>
    <row r="497" spans="1:13" x14ac:dyDescent="0.2">
      <c r="A497" t="s">
        <v>854</v>
      </c>
      <c r="B497" t="s">
        <v>833</v>
      </c>
      <c r="C497" t="s">
        <v>146</v>
      </c>
      <c r="D497" t="s">
        <v>109</v>
      </c>
      <c r="E497" t="s">
        <v>52</v>
      </c>
      <c r="F497" t="s">
        <v>60</v>
      </c>
      <c r="G497" t="s">
        <v>28</v>
      </c>
      <c r="H497" t="s">
        <v>64</v>
      </c>
      <c r="I497">
        <v>4904</v>
      </c>
      <c r="J497">
        <v>4</v>
      </c>
      <c r="K497">
        <v>3.2</v>
      </c>
      <c r="L497">
        <v>5</v>
      </c>
      <c r="M497" t="s">
        <v>119</v>
      </c>
    </row>
    <row r="498" spans="1:13" x14ac:dyDescent="0.2">
      <c r="A498" t="s">
        <v>855</v>
      </c>
      <c r="B498" t="s">
        <v>487</v>
      </c>
      <c r="C498" t="s">
        <v>125</v>
      </c>
      <c r="D498" t="s">
        <v>86</v>
      </c>
      <c r="E498" t="s">
        <v>17</v>
      </c>
      <c r="F498" t="s">
        <v>18</v>
      </c>
      <c r="G498" t="s">
        <v>54</v>
      </c>
      <c r="H498" t="s">
        <v>36</v>
      </c>
      <c r="I498">
        <v>2895</v>
      </c>
      <c r="J498">
        <v>5</v>
      </c>
      <c r="K498">
        <v>4.2</v>
      </c>
      <c r="L498">
        <v>1</v>
      </c>
      <c r="M498" t="s">
        <v>80</v>
      </c>
    </row>
    <row r="499" spans="1:13" x14ac:dyDescent="0.2">
      <c r="A499" t="s">
        <v>856</v>
      </c>
      <c r="B499" t="s">
        <v>187</v>
      </c>
      <c r="C499" t="s">
        <v>112</v>
      </c>
      <c r="D499" t="s">
        <v>165</v>
      </c>
      <c r="E499" t="s">
        <v>35</v>
      </c>
      <c r="F499" t="s">
        <v>27</v>
      </c>
      <c r="G499" t="s">
        <v>104</v>
      </c>
      <c r="H499" t="s">
        <v>64</v>
      </c>
      <c r="I499">
        <v>28672</v>
      </c>
      <c r="J499">
        <v>2</v>
      </c>
      <c r="K499">
        <v>3.6</v>
      </c>
      <c r="L499">
        <v>2</v>
      </c>
      <c r="M499" t="s">
        <v>126</v>
      </c>
    </row>
    <row r="500" spans="1:13" x14ac:dyDescent="0.2">
      <c r="A500" t="s">
        <v>857</v>
      </c>
      <c r="B500" t="s">
        <v>250</v>
      </c>
      <c r="C500" t="s">
        <v>72</v>
      </c>
      <c r="D500" t="s">
        <v>86</v>
      </c>
      <c r="E500" t="s">
        <v>17</v>
      </c>
      <c r="F500" t="s">
        <v>18</v>
      </c>
      <c r="G500" t="s">
        <v>19</v>
      </c>
      <c r="H500" t="s">
        <v>20</v>
      </c>
      <c r="I500">
        <v>1882</v>
      </c>
      <c r="J500">
        <v>2</v>
      </c>
      <c r="K500">
        <v>4.9000000000000004</v>
      </c>
      <c r="L500">
        <v>4</v>
      </c>
      <c r="M500" t="s">
        <v>192</v>
      </c>
    </row>
    <row r="501" spans="1:13" x14ac:dyDescent="0.2">
      <c r="A501" t="s">
        <v>858</v>
      </c>
      <c r="B501" t="s">
        <v>859</v>
      </c>
      <c r="C501" t="s">
        <v>170</v>
      </c>
      <c r="D501" t="s">
        <v>97</v>
      </c>
      <c r="E501" t="s">
        <v>35</v>
      </c>
      <c r="F501" t="s">
        <v>100</v>
      </c>
      <c r="G501" t="s">
        <v>28</v>
      </c>
      <c r="H501" t="s">
        <v>64</v>
      </c>
      <c r="I501">
        <v>333860</v>
      </c>
      <c r="J501">
        <v>5</v>
      </c>
      <c r="K501">
        <v>4.5</v>
      </c>
      <c r="L501">
        <v>2</v>
      </c>
      <c r="M501" t="s">
        <v>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8BB98-625E-BE44-841F-B21CD58D3921}">
  <dimension ref="D34:F40"/>
  <sheetViews>
    <sheetView showGridLines="0" tabSelected="1" zoomScale="113" zoomScaleNormal="100" workbookViewId="0">
      <selection activeCell="Q8" sqref="Q8"/>
    </sheetView>
  </sheetViews>
  <sheetFormatPr baseColWidth="10" defaultRowHeight="15" x14ac:dyDescent="0.2"/>
  <sheetData>
    <row r="34" spans="4:6" x14ac:dyDescent="0.2">
      <c r="F34" s="17"/>
    </row>
    <row r="35" spans="4:6" x14ac:dyDescent="0.2">
      <c r="D35" s="17"/>
      <c r="F35" s="17"/>
    </row>
    <row r="36" spans="4:6" x14ac:dyDescent="0.2">
      <c r="F36" s="17"/>
    </row>
    <row r="37" spans="4:6" x14ac:dyDescent="0.2">
      <c r="F37" s="17"/>
    </row>
    <row r="38" spans="4:6" x14ac:dyDescent="0.2">
      <c r="F38" s="17"/>
    </row>
    <row r="39" spans="4:6" x14ac:dyDescent="0.2">
      <c r="F39" s="17"/>
    </row>
    <row r="40" spans="4:6" x14ac:dyDescent="0.2">
      <c r="F40" s="17"/>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Yashasri Jadala</cp:lastModifiedBy>
  <dcterms:created xsi:type="dcterms:W3CDTF">2026-09-04T11:04:00Z</dcterms:created>
  <dcterms:modified xsi:type="dcterms:W3CDTF">2026-09-18T15:22:26Z</dcterms:modified>
</cp:coreProperties>
</file>